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ação do Telão" sheetId="1" r:id="rId5"/>
    <sheet state="visible" name="Palco 2 — Espaço Geek" sheetId="2" r:id="rId6"/>
  </sheets>
  <definedNames>
    <definedName hidden="1" localSheetId="1" name="_xlnm._FilterDatabase">'Palco 2 — Espaço Geek'!$A$6:$L$40</definedName>
  </definedNames>
  <calcPr/>
</workbook>
</file>

<file path=xl/sharedStrings.xml><?xml version="1.0" encoding="utf-8"?>
<sst xmlns="http://schemas.openxmlformats.org/spreadsheetml/2006/main" count="157" uniqueCount="101">
  <si>
    <t>ALEGRETE SUMMIT 2026 | PROGRAMAÇÃO E MATERIAIS DO TELÃO PRINCIPAL</t>
  </si>
  <si>
    <t>Arquivo independente para organizar por horário o conteúdo que será exibido e vincular a apresentação, arte ou arquivo de cada item.</t>
  </si>
  <si>
    <t>Banca Bye Bye Boss</t>
  </si>
  <si>
    <t>Tela de identificação: Banca Bye Bye Boss.</t>
  </si>
  <si>
    <t>Abertura Oficial</t>
  </si>
  <si>
    <t>Abertura Oficial; patrocinadores Sicredi, Sebrae e Prefeitura; tema: “Por que investir no Alegrete Summit?”.</t>
  </si>
  <si>
    <t>FAZER ARTE</t>
  </si>
  <si>
    <t>Diálogos Alegrete Summit — Bloco 1</t>
  </si>
  <si>
    <t>Título do bloco: “Onde Estamos?”; linha de ação: cenários e estratégias.</t>
  </si>
  <si>
    <t>https://drive.google.com/file/d/1m0ml-d8oyKi9Qj6g1e-gSVk5_PZ47ec5/view?usp=sharing</t>
  </si>
  <si>
    <t>Diálogos Alegrete Summit — Bloco 2</t>
  </si>
  <si>
    <t>Título: “Pra onde Vamos? O futuro já chegou (e eu vi de perto na China)”; tecnologia, negócios e comportamento; Émerson Rizzatti, coordenador da Incubadora do Pampatec.</t>
  </si>
  <si>
    <t>https://docs.google.com/presentation/d/16fwnuvj4h2CstemxGaHdZGr_iprvyuX63Rhcf2gOFaw/edit?slide=id.p#slide=id.p</t>
  </si>
  <si>
    <t>Diálogos Alegrete Summit — Bloco 3</t>
  </si>
  <si>
    <t>Título do bloco: “Do Summit ao Negócio”.</t>
  </si>
  <si>
    <t>https://drive.google.com/drive/folders/1MSJoBuSkDesnQL-dENRFHQbBuIq4sHZu?usp=sharing</t>
  </si>
  <si>
    <t>Ideathon</t>
  </si>
  <si>
    <t>Identificação visual: Ideathon. Usar a arte ou apresentação correspondente.</t>
  </si>
  <si>
    <t>https://drive.google.com/file/d/162fcvFgXyWLK7cnpaagke-LGRVX5Px0C/view?usp=sharing</t>
  </si>
  <si>
    <t>Premiação Ideathon</t>
  </si>
  <si>
    <t>Tela de identificação: Premiação Ideathon.</t>
  </si>
  <si>
    <t>https://drive.google.com/file/d/1s5x1Cz9xwVBjjlR1Reat_griXLoaE7Dl/view?usp=sharing</t>
  </si>
  <si>
    <t>Abertura do Segundo Dia</t>
  </si>
  <si>
    <t>Tela de abertura do segundo dia.</t>
  </si>
  <si>
    <t>Oficina: Vídeo para Redes Sociais</t>
  </si>
  <si>
    <t>Título da oficina e nome da facilitadora: Anita Rizzatti.</t>
  </si>
  <si>
    <t>https://www.canva.com/design/DAHZOZ8UEkU/jlVwHrcAEjbKlmNRBaynNg/edit</t>
  </si>
  <si>
    <t>Palestra: Da escassez ao estado da arte — 11 anos transformando problemas reais em tecnologia que vira produto</t>
  </si>
  <si>
    <t>Título da palestra; Evandro Salles — cofundador e CEO da Contact Pró; Sandro Salles — cofundador e CTO da Contact Pró.</t>
  </si>
  <si>
    <t>https://docs.google.com/presentation/d/1URrXtgYvJaHTRN7UtUWfcIwMMO14zf-8/edit?usp=sharing&amp;ouid=103870581918424019761&amp;rtpof=true&amp;sd=true</t>
  </si>
  <si>
    <t>Palestra: Inovação Humanizada</t>
  </si>
  <si>
    <t>Título da palestra e nome do palestrante: Marcus Rossi, criador da Gramado Summit.</t>
  </si>
  <si>
    <t>NÃO ENVIOU AINDA</t>
  </si>
  <si>
    <t>Encerramento</t>
  </si>
  <si>
    <t>Tela de encerramento do evento.</t>
  </si>
  <si>
    <t>ALEGRETE SUMMIT 2026 | PALCO 2 — ESPAÇO GEEK</t>
  </si>
  <si>
    <t>Grade de programação e materiais para exibição. Os horários simultâneos foram mantidos como recebidos e destacados para confirmação.</t>
  </si>
  <si>
    <t>ITENS NA PROGRAMAÇÃO</t>
  </si>
  <si>
    <t>MATERIAIS AGUARDANDO LINK</t>
  </si>
  <si>
    <t>SOBREPOSIÇÕES DE HORÁRIO</t>
  </si>
  <si>
    <t>Dia</t>
  </si>
  <si>
    <t>Duração informada</t>
  </si>
  <si>
    <t>Horário de início</t>
  </si>
  <si>
    <t>Horário final</t>
  </si>
  <si>
    <t>Duração calculada</t>
  </si>
  <si>
    <t>Conferência do horário</t>
  </si>
  <si>
    <t>Mediador / identificação informada</t>
  </si>
  <si>
    <t>Programação</t>
  </si>
  <si>
    <t>Palestrante / conteúdo</t>
  </si>
  <si>
    <t>Link do material para o telão</t>
  </si>
  <si>
    <t>Estado do material</t>
  </si>
  <si>
    <t>Observações</t>
  </si>
  <si>
    <t>Talk Geek 01</t>
  </si>
  <si>
    <t>Aguardando link</t>
  </si>
  <si>
    <t>Talk Geek 02</t>
  </si>
  <si>
    <t>Fernando Agente Ali Alegrete @fernandocamargo</t>
  </si>
  <si>
    <t>Pausa / café / troca</t>
  </si>
  <si>
    <t>Bloco especial — 45 min</t>
  </si>
  <si>
    <t>Andreo Morais — multiempreendedor (Morais Capital, Samsul Imóveis etc.)</t>
  </si>
  <si>
    <t>Talk Geek 03</t>
  </si>
  <si>
    <t>Talk Geek 04</t>
  </si>
  <si>
    <t>Angel</t>
  </si>
  <si>
    <t>Interação / fechamento / margem</t>
  </si>
  <si>
    <t>Intervalo</t>
  </si>
  <si>
    <t>Talk Geek 05</t>
  </si>
  <si>
    <t>Nico</t>
  </si>
  <si>
    <t>Talk Geek 06</t>
  </si>
  <si>
    <t>Carol Machado</t>
  </si>
  <si>
    <t>Talk Geek 07</t>
  </si>
  <si>
    <t>Technovation Gurias — Escola de Inovação para Gurias @Geaninne</t>
  </si>
  <si>
    <t>Talk Geek 08</t>
  </si>
  <si>
    <t>Raul @Egd</t>
  </si>
  <si>
    <t>Talk Geek 09</t>
  </si>
  <si>
    <t>Da linha de largada ao empreendedorismo: como transformar uma ideia em movimento. A minha trajetória com a corrida de rua, desde um desafio pessoal até a construção da MW Performance, do Circuito MW e de projetos que conectam pessoas, empresas e a comunidade alegretense. @MaiaraWelker</t>
  </si>
  <si>
    <t>Pratick na sena 7</t>
  </si>
  <si>
    <t>Pratick na sena 8</t>
  </si>
  <si>
    <t>Gisele</t>
  </si>
  <si>
    <t>Pratick na sena 9</t>
  </si>
  <si>
    <t>Pratick na sena 10</t>
  </si>
  <si>
    <t>Sicredi Luciano</t>
  </si>
  <si>
    <t>Pratick na sena 11</t>
  </si>
  <si>
    <t>Patrick na Cena</t>
  </si>
  <si>
    <t>Pratick na sena 12</t>
  </si>
  <si>
    <t>O encontro entre inteligência artificial, criatividade humana e marketing. @ju.rodrigues @Arjo Agência de Marketing</t>
  </si>
  <si>
    <t>Pratick na sena 13</t>
  </si>
  <si>
    <t>Pratick na sena 14</t>
  </si>
  <si>
    <t>Pratick na sena 15</t>
  </si>
  <si>
    <t>Katiuscia Oliveira</t>
  </si>
  <si>
    <t>Pratick na sena 16</t>
  </si>
  <si>
    <t>Leidria</t>
  </si>
  <si>
    <t>Pratick na sena 17</t>
  </si>
  <si>
    <t>Pratick na sena 18</t>
  </si>
  <si>
    <t>Cris Brandolt</t>
  </si>
  <si>
    <t>Pratick na sena 19</t>
  </si>
  <si>
    <t>Getúlio — Muito Além da Transmissão. Como tecnologia, criatividade e empreendedorismo estão transformando o esporte na Fronteira Oeste.</t>
  </si>
  <si>
    <t>Pratick na sena 20</t>
  </si>
  <si>
    <t>Nathalie Leite — fundadora @gaid.co</t>
  </si>
  <si>
    <t>Pratick na sena 21</t>
  </si>
  <si>
    <t>Pratick na sena 22</t>
  </si>
  <si>
    <t>Luiz Felipe — “temos a nossa máquina do tempo nas mãos”</t>
  </si>
  <si>
    <t>Pratick na sena 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</si>
</sst>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hh:mm"/>
    <numFmt numFmtId="166" formatCode="[h]:mm"/>
    <numFmt numFmtId="167" formatCode="dd/mm/yyyy"/>
  </numFmts>
  <fonts count="9">
    <font>
      <sz val="10.0"/>
      <color rgb="FF000000"/>
      <name val="Arial"/>
      <scheme val="minor"/>
    </font>
    <font>
      <b/>
      <sz val="17.0"/>
      <color rgb="FFFFFFFF"/>
      <name val="Arial"/>
    </font>
    <font>
      <i/>
      <sz val="10.0"/>
      <color rgb="FF44546A"/>
      <name val="Arial"/>
    </font>
    <font>
      <sz val="10.0"/>
      <color rgb="FF243447"/>
      <name val="Arial"/>
    </font>
    <font>
      <u/>
      <sz val="10.0"/>
      <color rgb="FF0000FF"/>
      <name val="Arial"/>
    </font>
    <font>
      <b/>
      <sz val="10.0"/>
      <color rgb="FFFFFFFF"/>
      <name val="Arial"/>
    </font>
    <font>
      <b/>
      <sz val="22.0"/>
      <color rgb="FF0F6B78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EAF2F8"/>
        <bgColor rgb="FFEAF2F8"/>
      </patternFill>
    </fill>
    <fill>
      <patternFill patternType="solid">
        <fgColor rgb="FFFFFFFF"/>
        <bgColor rgb="FFFFFFFF"/>
      </patternFill>
    </fill>
    <fill>
      <patternFill patternType="solid">
        <fgColor rgb="FF0F6B78"/>
        <bgColor rgb="FF0F6B78"/>
      </patternFill>
    </fill>
    <fill>
      <patternFill patternType="solid">
        <fgColor rgb="FFF4F7FA"/>
        <bgColor rgb="FFF4F7FA"/>
      </patternFill>
    </fill>
    <fill>
      <patternFill patternType="solid">
        <fgColor rgb="FF1F4E78"/>
        <bgColor rgb="FF1F4E78"/>
      </patternFill>
    </fill>
    <fill>
      <patternFill patternType="solid">
        <fgColor rgb="FFF3F6F8"/>
        <bgColor rgb="FFF3F6F8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3" fontId="2" numFmtId="0" xfId="0" applyAlignment="1" applyFill="1" applyFont="1">
      <alignment readingOrder="0" shrinkToFit="0" vertical="center" wrapText="1"/>
    </xf>
    <xf borderId="0" fillId="4" fontId="3" numFmtId="164" xfId="0" applyAlignment="1" applyFill="1" applyFont="1" applyNumberFormat="1">
      <alignment readingOrder="0" shrinkToFit="0" vertical="center" wrapText="1"/>
    </xf>
    <xf borderId="0" fillId="4" fontId="3" numFmtId="165" xfId="0" applyAlignment="1" applyFill="1" applyFont="1" applyNumberFormat="1">
      <alignment horizontal="center" readingOrder="0" shrinkToFit="0" vertical="center" wrapText="1"/>
    </xf>
    <xf borderId="0" fillId="4" fontId="3" numFmtId="166" xfId="0" applyAlignment="1" applyFill="1" applyFont="1" applyNumberFormat="1">
      <alignment horizontal="center" readingOrder="0" shrinkToFit="0" vertical="center" wrapText="1"/>
    </xf>
    <xf borderId="0" fillId="4" fontId="3" numFmtId="166" xfId="0" applyAlignment="1" applyFill="1" applyFont="1" applyNumberFormat="1">
      <alignment horizontal="center" shrinkToFit="0" vertical="center" wrapText="1"/>
    </xf>
    <xf borderId="0" fillId="4" fontId="3" numFmtId="0" xfId="0" applyAlignment="1" applyFill="1" applyFont="1">
      <alignment readingOrder="0" shrinkToFit="0" vertical="center" wrapText="1"/>
    </xf>
    <xf borderId="0" fillId="4" fontId="3" numFmtId="0" xfId="0" applyAlignment="1" applyFill="1" applyFont="1">
      <alignment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0" fillId="0" fontId="3" numFmtId="165" xfId="0" applyAlignment="1" applyFont="1" applyNumberFormat="1">
      <alignment horizontal="center" readingOrder="0" shrinkToFit="0" vertical="center" wrapText="1"/>
    </xf>
    <xf borderId="0" fillId="0" fontId="3" numFmtId="166" xfId="0" applyAlignment="1" applyFont="1" applyNumberFormat="1">
      <alignment horizontal="center" readingOrder="0" shrinkToFit="0" vertical="center" wrapText="1"/>
    </xf>
    <xf borderId="0" fillId="0" fontId="3" numFmtId="166" xfId="0" applyAlignment="1" applyFont="1" applyNumberFormat="1">
      <alignment horizontal="center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5" fontId="5" numFmtId="0" xfId="0" applyAlignment="1" applyFill="1" applyFont="1">
      <alignment horizontal="center" readingOrder="0" shrinkToFit="0" vertical="center" wrapText="1"/>
    </xf>
    <xf borderId="0" fillId="6" fontId="6" numFmtId="0" xfId="0" applyAlignment="1" applyFill="1" applyFont="1">
      <alignment horizontal="center" vertical="center"/>
    </xf>
    <xf borderId="0" fillId="7" fontId="5" numFmtId="0" xfId="0" applyAlignment="1" applyFill="1" applyFont="1">
      <alignment horizontal="center" readingOrder="0" shrinkToFit="0" vertical="center" wrapText="1"/>
    </xf>
    <xf borderId="0" fillId="4" fontId="3" numFmtId="167" xfId="0" applyAlignment="1" applyFill="1" applyFont="1" applyNumberFormat="1">
      <alignment horizontal="center" readingOrder="0" shrinkToFit="0" vertical="center" wrapText="1"/>
    </xf>
    <xf borderId="0" fillId="4" fontId="3" numFmtId="165" xfId="0" applyAlignment="1" applyFill="1" applyFont="1" applyNumberFormat="1">
      <alignment horizontal="center" shrinkToFit="0" vertical="center" wrapText="1"/>
    </xf>
    <xf borderId="0" fillId="4" fontId="3" numFmtId="0" xfId="0" applyAlignment="1" applyFill="1" applyFont="1">
      <alignment horizontal="center" shrinkToFit="0" vertical="center" wrapText="1"/>
    </xf>
    <xf borderId="0" fillId="4" fontId="7" numFmtId="0" xfId="0" applyAlignment="1" applyFill="1" applyFont="1">
      <alignment horizontal="center" readingOrder="0" shrinkToFit="0" vertical="center" wrapText="1"/>
    </xf>
    <xf borderId="0" fillId="8" fontId="3" numFmtId="167" xfId="0" applyAlignment="1" applyFill="1" applyFont="1" applyNumberFormat="1">
      <alignment horizontal="center" readingOrder="0" shrinkToFit="0" vertical="center" wrapText="1"/>
    </xf>
    <xf borderId="0" fillId="8" fontId="3" numFmtId="166" xfId="0" applyAlignment="1" applyFill="1" applyFont="1" applyNumberFormat="1">
      <alignment horizontal="center" readingOrder="0" shrinkToFit="0" vertical="center" wrapText="1"/>
    </xf>
    <xf borderId="0" fillId="8" fontId="3" numFmtId="165" xfId="0" applyAlignment="1" applyFill="1" applyFont="1" applyNumberFormat="1">
      <alignment horizontal="center" readingOrder="0" shrinkToFit="0" vertical="center" wrapText="1"/>
    </xf>
    <xf borderId="0" fillId="8" fontId="3" numFmtId="165" xfId="0" applyAlignment="1" applyFill="1" applyFont="1" applyNumberFormat="1">
      <alignment horizontal="center" shrinkToFit="0" vertical="center" wrapText="1"/>
    </xf>
    <xf borderId="0" fillId="8" fontId="3" numFmtId="0" xfId="0" applyAlignment="1" applyFill="1" applyFont="1">
      <alignment horizontal="center" shrinkToFit="0" vertical="center" wrapText="1"/>
    </xf>
    <xf borderId="0" fillId="8" fontId="3" numFmtId="0" xfId="0" applyAlignment="1" applyFill="1" applyFont="1">
      <alignment shrinkToFit="0" vertical="center" wrapText="1"/>
    </xf>
    <xf borderId="0" fillId="8" fontId="3" numFmtId="0" xfId="0" applyAlignment="1" applyFill="1" applyFont="1">
      <alignment readingOrder="0" shrinkToFit="0" vertical="center" wrapText="1"/>
    </xf>
    <xf borderId="0" fillId="8" fontId="7" numFmtId="0" xfId="0" applyAlignment="1" applyFill="1" applyFont="1">
      <alignment horizontal="center" readingOrder="0" shrinkToFit="0" vertical="center" wrapText="1"/>
    </xf>
    <xf borderId="0" fillId="0" fontId="8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1F4E78"/>
          <bgColor rgb="FF1F4E7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6F8"/>
          <bgColor rgb="FFF3F6F8"/>
        </patternFill>
      </fill>
      <border/>
    </dxf>
    <dxf>
      <font>
        <b/>
        <color rgb="FF9C5700"/>
      </font>
      <fill>
        <patternFill patternType="solid">
          <fgColor rgb="FFFCE4D6"/>
          <bgColor rgb="FFFCE4D6"/>
        </patternFill>
      </fill>
      <border/>
    </dxf>
    <dxf>
      <font>
        <b/>
        <color rgb="FF276221"/>
      </font>
      <fill>
        <patternFill patternType="solid">
          <fgColor rgb="FFE2F0D9"/>
          <bgColor rgb="FFE2F0D9"/>
        </patternFill>
      </fill>
      <border/>
    </dxf>
  </dxfs>
  <tableStyles count="1">
    <tableStyle count="3" pivot="0" name="Programação do Telã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H15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Programação do Telã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0ml-d8oyKi9Qj6g1e-gSVk5_PZ47ec5/view?usp=sharing" TargetMode="External"/><Relationship Id="rId2" Type="http://schemas.openxmlformats.org/officeDocument/2006/relationships/hyperlink" Target="https://docs.google.com/presentation/d/16fwnuvj4h2CstemxGaHdZGr_iprvyuX63Rhcf2gOFaw/edit?slide=id.p" TargetMode="External"/><Relationship Id="rId3" Type="http://schemas.openxmlformats.org/officeDocument/2006/relationships/hyperlink" Target="https://drive.google.com/drive/folders/1MSJoBuSkDesnQL-dENRFHQbBuIq4sHZu?usp=sharing" TargetMode="External"/><Relationship Id="rId4" Type="http://schemas.openxmlformats.org/officeDocument/2006/relationships/hyperlink" Target="https://drive.google.com/file/d/162fcvFgXyWLK7cnpaagke-LGRVX5Px0C/view?usp=sharing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s://drive.google.com/file/d/1s5x1Cz9xwVBjjlR1Reat_griXLoaE7Dl/view?usp=sharing" TargetMode="External"/><Relationship Id="rId6" Type="http://schemas.openxmlformats.org/officeDocument/2006/relationships/hyperlink" Target="https://www.canva.com/design/DAHZOZ8UEkU/jlVwHrcAEjbKlmNRBaynNg/edit" TargetMode="External"/><Relationship Id="rId7" Type="http://schemas.openxmlformats.org/officeDocument/2006/relationships/hyperlink" Target="https://docs.google.com/presentation/d/1URrXtgYvJaHTRN7UtUWfcIwMMO14zf-8/edit?usp=sharing&amp;ouid=103870581918424019761&amp;rtpof=true&amp;sd=true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6B78"/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63"/>
    <col customWidth="1" min="2" max="2" width="10.0"/>
    <col customWidth="1" min="3" max="3" width="10.88"/>
    <col customWidth="1" min="4" max="4" width="9.88"/>
    <col customWidth="1" min="5" max="5" width="15.38"/>
    <col customWidth="1" min="6" max="6" width="41.38"/>
    <col customWidth="1" min="7" max="7" width="61.38"/>
    <col customWidth="1" min="8" max="8" width="37.63"/>
  </cols>
  <sheetData>
    <row r="1" ht="31.5" customHeight="1">
      <c r="A1" s="1" t="s">
        <v>0</v>
      </c>
    </row>
    <row r="2" ht="28.5" customHeight="1">
      <c r="A2" s="2" t="s">
        <v>1</v>
      </c>
    </row>
    <row r="4" ht="48.0" customHeight="1">
      <c r="A4" s="3">
        <v>46324.0</v>
      </c>
      <c r="B4" s="4">
        <v>0.5833333333333334</v>
      </c>
      <c r="C4" s="4">
        <v>0.75</v>
      </c>
      <c r="D4" s="5">
        <v>0.16666666666666666</v>
      </c>
      <c r="E4" s="6">
        <f t="shared" ref="E4:E15" si="1">IF(OR(B4="",C4=""),"",C4-B4)</f>
        <v>0.1666666667</v>
      </c>
      <c r="F4" s="7" t="s">
        <v>2</v>
      </c>
      <c r="G4" s="7" t="s">
        <v>3</v>
      </c>
      <c r="H4" s="8"/>
    </row>
    <row r="5" ht="48.0" customHeight="1">
      <c r="A5" s="9">
        <v>46324.0</v>
      </c>
      <c r="B5" s="10">
        <v>0.75</v>
      </c>
      <c r="C5" s="10">
        <v>0.7881944444444444</v>
      </c>
      <c r="D5" s="11">
        <v>0.03819444444444445</v>
      </c>
      <c r="E5" s="12">
        <f t="shared" si="1"/>
        <v>0.03819444444</v>
      </c>
      <c r="F5" s="13" t="s">
        <v>4</v>
      </c>
      <c r="G5" s="13" t="s">
        <v>5</v>
      </c>
      <c r="H5" s="13" t="s">
        <v>6</v>
      </c>
    </row>
    <row r="6" ht="48.0" customHeight="1">
      <c r="A6" s="9">
        <v>46324.0</v>
      </c>
      <c r="B6" s="10">
        <v>0.7916666666666666</v>
      </c>
      <c r="C6" s="10">
        <v>0.8333333333333334</v>
      </c>
      <c r="D6" s="11">
        <v>0.041666666666666664</v>
      </c>
      <c r="E6" s="12">
        <f t="shared" si="1"/>
        <v>0.04166666667</v>
      </c>
      <c r="F6" s="13" t="s">
        <v>7</v>
      </c>
      <c r="G6" s="13" t="s">
        <v>8</v>
      </c>
      <c r="H6" s="14" t="s">
        <v>9</v>
      </c>
    </row>
    <row r="7" ht="48.0" customHeight="1">
      <c r="A7" s="9">
        <v>46324.0</v>
      </c>
      <c r="B7" s="10">
        <v>0.8333333333333334</v>
      </c>
      <c r="C7" s="10">
        <v>0.8645833333333334</v>
      </c>
      <c r="D7" s="11">
        <v>0.03125</v>
      </c>
      <c r="E7" s="12">
        <f t="shared" si="1"/>
        <v>0.03125</v>
      </c>
      <c r="F7" s="13" t="s">
        <v>10</v>
      </c>
      <c r="G7" s="13" t="s">
        <v>11</v>
      </c>
      <c r="H7" s="14" t="s">
        <v>12</v>
      </c>
    </row>
    <row r="8" ht="48.0" customHeight="1">
      <c r="A8" s="9">
        <v>46324.0</v>
      </c>
      <c r="B8" s="10">
        <v>0.8645833333333334</v>
      </c>
      <c r="C8" s="10">
        <v>0.8958333333333334</v>
      </c>
      <c r="D8" s="11">
        <v>0.03125</v>
      </c>
      <c r="E8" s="12">
        <f t="shared" si="1"/>
        <v>0.03125</v>
      </c>
      <c r="F8" s="13" t="s">
        <v>13</v>
      </c>
      <c r="G8" s="13" t="s">
        <v>14</v>
      </c>
      <c r="H8" s="14" t="s">
        <v>15</v>
      </c>
    </row>
    <row r="9" ht="48.0" customHeight="1">
      <c r="A9" s="9">
        <v>46325.0</v>
      </c>
      <c r="B9" s="10">
        <v>0.3541666666666667</v>
      </c>
      <c r="C9" s="10">
        <v>0.75</v>
      </c>
      <c r="D9" s="11">
        <v>0.4166666666666667</v>
      </c>
      <c r="E9" s="12">
        <f t="shared" si="1"/>
        <v>0.3958333333</v>
      </c>
      <c r="F9" s="13" t="s">
        <v>16</v>
      </c>
      <c r="G9" s="13" t="s">
        <v>17</v>
      </c>
      <c r="H9" s="14" t="s">
        <v>18</v>
      </c>
    </row>
    <row r="10" ht="48.0" customHeight="1">
      <c r="A10" s="9">
        <v>46325.0</v>
      </c>
      <c r="B10" s="10">
        <v>0.75</v>
      </c>
      <c r="C10" s="10">
        <v>0.7777777777777778</v>
      </c>
      <c r="D10" s="11">
        <v>0.027777777777777776</v>
      </c>
      <c r="E10" s="12">
        <f t="shared" si="1"/>
        <v>0.02777777778</v>
      </c>
      <c r="F10" s="13" t="s">
        <v>19</v>
      </c>
      <c r="G10" s="13" t="s">
        <v>20</v>
      </c>
      <c r="H10" s="14" t="s">
        <v>21</v>
      </c>
    </row>
    <row r="11" ht="48.0" customHeight="1">
      <c r="A11" s="9">
        <v>46325.0</v>
      </c>
      <c r="B11" s="10">
        <v>0.7777777777777778</v>
      </c>
      <c r="C11" s="10">
        <v>0.78125</v>
      </c>
      <c r="D11" s="11">
        <v>0.003472222222222222</v>
      </c>
      <c r="E11" s="12">
        <f t="shared" si="1"/>
        <v>0.003472222222</v>
      </c>
      <c r="F11" s="13" t="s">
        <v>22</v>
      </c>
      <c r="G11" s="13" t="s">
        <v>23</v>
      </c>
      <c r="H11" s="13" t="s">
        <v>6</v>
      </c>
    </row>
    <row r="12" ht="48.0" customHeight="1">
      <c r="A12" s="9">
        <v>46325.0</v>
      </c>
      <c r="B12" s="10">
        <v>0.78125</v>
      </c>
      <c r="C12" s="10">
        <v>0.8090277777777778</v>
      </c>
      <c r="D12" s="11">
        <v>0.027777777777777776</v>
      </c>
      <c r="E12" s="12">
        <f t="shared" si="1"/>
        <v>0.02777777778</v>
      </c>
      <c r="F12" s="13" t="s">
        <v>24</v>
      </c>
      <c r="G12" s="13" t="s">
        <v>25</v>
      </c>
      <c r="H12" s="14" t="s">
        <v>26</v>
      </c>
    </row>
    <row r="13" ht="48.0" customHeight="1">
      <c r="A13" s="9">
        <v>46325.0</v>
      </c>
      <c r="B13" s="10">
        <v>0.8194444444444444</v>
      </c>
      <c r="C13" s="10">
        <v>0.8541666666666666</v>
      </c>
      <c r="D13" s="11">
        <v>0.034722222222222224</v>
      </c>
      <c r="E13" s="12">
        <f t="shared" si="1"/>
        <v>0.03472222222</v>
      </c>
      <c r="F13" s="13" t="s">
        <v>27</v>
      </c>
      <c r="G13" s="13" t="s">
        <v>28</v>
      </c>
      <c r="H13" s="14" t="s">
        <v>29</v>
      </c>
    </row>
    <row r="14" ht="48.0" customHeight="1">
      <c r="A14" s="9">
        <v>46325.0</v>
      </c>
      <c r="B14" s="10">
        <v>0.8576388888888888</v>
      </c>
      <c r="C14" s="10">
        <v>0.8993055555555556</v>
      </c>
      <c r="D14" s="11">
        <v>0.041666666666666664</v>
      </c>
      <c r="E14" s="12">
        <f t="shared" si="1"/>
        <v>0.04166666667</v>
      </c>
      <c r="F14" s="13" t="s">
        <v>30</v>
      </c>
      <c r="G14" s="13" t="s">
        <v>31</v>
      </c>
      <c r="H14" s="13" t="s">
        <v>32</v>
      </c>
    </row>
    <row r="15" ht="48.0" customHeight="1">
      <c r="A15" s="9">
        <v>46325.0</v>
      </c>
      <c r="B15" s="10">
        <v>0.8993055555555556</v>
      </c>
      <c r="C15" s="10">
        <v>0.9166666666666666</v>
      </c>
      <c r="D15" s="11">
        <v>0.041666666666666664</v>
      </c>
      <c r="E15" s="12">
        <f t="shared" si="1"/>
        <v>0.01736111111</v>
      </c>
      <c r="F15" s="13" t="s">
        <v>33</v>
      </c>
      <c r="G15" s="13" t="s">
        <v>34</v>
      </c>
      <c r="H15" s="13" t="s">
        <v>6</v>
      </c>
    </row>
  </sheetData>
  <mergeCells count="2">
    <mergeCell ref="A1:H1"/>
    <mergeCell ref="A2:H2"/>
  </mergeCells>
  <hyperlinks>
    <hyperlink r:id="rId1" ref="H6"/>
    <hyperlink r:id="rId2" location="slide=id.p" ref="H7"/>
    <hyperlink r:id="rId3" ref="H8"/>
    <hyperlink r:id="rId4" ref="H9"/>
    <hyperlink r:id="rId5" ref="H10"/>
    <hyperlink r:id="rId6" ref="H12"/>
    <hyperlink r:id="rId7" ref="H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6B78"/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2.75"/>
    <col customWidth="1" min="2" max="2" width="11.13"/>
    <col customWidth="1" min="3" max="3" width="11.63"/>
    <col customWidth="1" min="4" max="4" width="10.25"/>
    <col customWidth="1" min="5" max="5" width="16.13"/>
    <col customWidth="1" min="6" max="6" width="19.5"/>
    <col customWidth="1" min="7" max="7" width="27.63"/>
    <col customWidth="1" min="8" max="8" width="33.88"/>
    <col customWidth="1" min="9" max="9" width="65.13"/>
    <col customWidth="1" min="10" max="10" width="36.38"/>
    <col customWidth="1" min="11" max="11" width="18.88"/>
    <col customWidth="1" min="12" max="12" width="40.13"/>
  </cols>
  <sheetData>
    <row r="1" ht="31.5" customHeight="1">
      <c r="A1" s="1" t="s">
        <v>35</v>
      </c>
    </row>
    <row r="2" ht="30.0" customHeight="1">
      <c r="A2" s="2" t="s">
        <v>36</v>
      </c>
    </row>
    <row r="3" ht="25.5" customHeight="1">
      <c r="A3" s="15" t="s">
        <v>37</v>
      </c>
      <c r="C3" s="15" t="s">
        <v>38</v>
      </c>
      <c r="E3" s="15" t="s">
        <v>39</v>
      </c>
    </row>
    <row r="4" ht="33.0" customHeight="1">
      <c r="A4" s="16">
        <f>COUNTA(H7:H40)</f>
        <v>34</v>
      </c>
      <c r="C4" s="16">
        <f>COUNTIF(K7:K40,"Aguardando link")</f>
        <v>34</v>
      </c>
      <c r="E4" s="16">
        <f>COUNTIF(F7:F40,"SOBREPOSIÇÃO")</f>
        <v>4</v>
      </c>
    </row>
    <row r="6" ht="45.0" customHeight="1">
      <c r="A6" s="17" t="s">
        <v>40</v>
      </c>
      <c r="B6" s="17" t="s">
        <v>41</v>
      </c>
      <c r="C6" s="17" t="s">
        <v>42</v>
      </c>
      <c r="D6" s="17" t="s">
        <v>43</v>
      </c>
      <c r="E6" s="17" t="s">
        <v>44</v>
      </c>
      <c r="F6" s="17" t="s">
        <v>45</v>
      </c>
      <c r="G6" s="17" t="s">
        <v>46</v>
      </c>
      <c r="H6" s="17" t="s">
        <v>47</v>
      </c>
      <c r="I6" s="17" t="s">
        <v>48</v>
      </c>
      <c r="J6" s="17" t="s">
        <v>49</v>
      </c>
      <c r="K6" s="17" t="s">
        <v>50</v>
      </c>
      <c r="L6" s="17" t="s">
        <v>51</v>
      </c>
    </row>
    <row r="7" ht="49.5" customHeight="1">
      <c r="A7" s="18">
        <v>46324.0</v>
      </c>
      <c r="B7" s="5">
        <v>0.017361111111111112</v>
      </c>
      <c r="C7" s="4">
        <v>0.375</v>
      </c>
      <c r="D7" s="4">
        <v>0.3923611111111111</v>
      </c>
      <c r="E7" s="19">
        <f t="shared" ref="E7:E40" si="1">IF(OR(C7="",D7=""),"",D7-C7)</f>
        <v>0.01736111111</v>
      </c>
      <c r="F7" s="20" t="str">
        <f t="shared" ref="F7:F40" si="2">IF(OR(C7="",D7=""),"",IF(COUNTIFS($A$7:$A$40,A7,$C$7:$C$40,"&lt;"&amp;D7,$D$7:$D$40,"&gt;"&amp;C7)&gt;1,"SOBREPOSIÇÃO",IF(ABS(B7-E7)&lt;TIME(0,1,0),"CONFERE","REVISAR DURAÇÃO")))</f>
        <v>SOBREPOSIÇÃO</v>
      </c>
      <c r="G7" s="8"/>
      <c r="H7" s="7" t="s">
        <v>52</v>
      </c>
      <c r="I7" s="8"/>
      <c r="J7" s="8"/>
      <c r="K7" s="21" t="s">
        <v>53</v>
      </c>
      <c r="L7" s="8"/>
    </row>
    <row r="8" ht="49.5" customHeight="1">
      <c r="A8" s="22">
        <v>46324.0</v>
      </c>
      <c r="B8" s="23">
        <v>0.017361111111111112</v>
      </c>
      <c r="C8" s="24">
        <v>0.375</v>
      </c>
      <c r="D8" s="24">
        <v>0.3923611111111111</v>
      </c>
      <c r="E8" s="25">
        <f t="shared" si="1"/>
        <v>0.01736111111</v>
      </c>
      <c r="F8" s="26" t="str">
        <f t="shared" si="2"/>
        <v>SOBREPOSIÇÃO</v>
      </c>
      <c r="G8" s="27"/>
      <c r="H8" s="28" t="s">
        <v>54</v>
      </c>
      <c r="I8" s="28" t="s">
        <v>55</v>
      </c>
      <c r="J8" s="27"/>
      <c r="K8" s="29" t="s">
        <v>53</v>
      </c>
      <c r="L8" s="27"/>
    </row>
    <row r="9" ht="49.5" customHeight="1">
      <c r="A9" s="18">
        <v>46324.0</v>
      </c>
      <c r="B9" s="5">
        <v>0.010416666666666666</v>
      </c>
      <c r="C9" s="4">
        <v>0.4097222222222222</v>
      </c>
      <c r="D9" s="4">
        <v>0.4201388888888889</v>
      </c>
      <c r="E9" s="19">
        <f t="shared" si="1"/>
        <v>0.01041666667</v>
      </c>
      <c r="F9" s="20" t="str">
        <f t="shared" si="2"/>
        <v>CONFERE</v>
      </c>
      <c r="G9" s="8"/>
      <c r="H9" s="7" t="s">
        <v>56</v>
      </c>
      <c r="I9" s="8"/>
      <c r="J9" s="8"/>
      <c r="K9" s="21" t="s">
        <v>53</v>
      </c>
      <c r="L9" s="8"/>
    </row>
    <row r="10" ht="49.5" customHeight="1">
      <c r="A10" s="22">
        <v>46324.0</v>
      </c>
      <c r="B10" s="23">
        <v>0.03125</v>
      </c>
      <c r="C10" s="24">
        <v>0.4201388888888889</v>
      </c>
      <c r="D10" s="24">
        <v>0.4513888888888889</v>
      </c>
      <c r="E10" s="25">
        <f t="shared" si="1"/>
        <v>0.03125</v>
      </c>
      <c r="F10" s="26" t="str">
        <f t="shared" si="2"/>
        <v>CONFERE</v>
      </c>
      <c r="G10" s="27"/>
      <c r="H10" s="28" t="s">
        <v>57</v>
      </c>
      <c r="I10" s="28" t="s">
        <v>58</v>
      </c>
      <c r="J10" s="27"/>
      <c r="K10" s="29" t="s">
        <v>53</v>
      </c>
      <c r="L10" s="27"/>
    </row>
    <row r="11" ht="49.5" customHeight="1">
      <c r="A11" s="18">
        <v>46324.0</v>
      </c>
      <c r="B11" s="5">
        <v>0.017361111111111112</v>
      </c>
      <c r="C11" s="4">
        <v>0.4513888888888889</v>
      </c>
      <c r="D11" s="4">
        <v>0.46875</v>
      </c>
      <c r="E11" s="19">
        <f t="shared" si="1"/>
        <v>0.01736111111</v>
      </c>
      <c r="F11" s="20" t="str">
        <f t="shared" si="2"/>
        <v>CONFERE</v>
      </c>
      <c r="G11" s="8"/>
      <c r="H11" s="7" t="s">
        <v>59</v>
      </c>
      <c r="I11" s="8"/>
      <c r="J11" s="8"/>
      <c r="K11" s="21" t="s">
        <v>53</v>
      </c>
      <c r="L11" s="8"/>
    </row>
    <row r="12" ht="49.5" customHeight="1">
      <c r="A12" s="22">
        <v>46324.0</v>
      </c>
      <c r="B12" s="23">
        <v>0.017361111111111112</v>
      </c>
      <c r="C12" s="24">
        <v>0.46875</v>
      </c>
      <c r="D12" s="24">
        <v>0.4861111111111111</v>
      </c>
      <c r="E12" s="25">
        <f t="shared" si="1"/>
        <v>0.01736111111</v>
      </c>
      <c r="F12" s="26" t="str">
        <f t="shared" si="2"/>
        <v>CONFERE</v>
      </c>
      <c r="G12" s="27"/>
      <c r="H12" s="28" t="s">
        <v>60</v>
      </c>
      <c r="I12" s="28" t="s">
        <v>61</v>
      </c>
      <c r="J12" s="27"/>
      <c r="K12" s="29" t="s">
        <v>53</v>
      </c>
      <c r="L12" s="27"/>
    </row>
    <row r="13" ht="49.5" customHeight="1">
      <c r="A13" s="18">
        <v>46324.0</v>
      </c>
      <c r="B13" s="5">
        <v>0.013888888888888888</v>
      </c>
      <c r="C13" s="4">
        <v>0.4861111111111111</v>
      </c>
      <c r="D13" s="4">
        <v>0.5</v>
      </c>
      <c r="E13" s="19">
        <f t="shared" si="1"/>
        <v>0.01388888889</v>
      </c>
      <c r="F13" s="20" t="str">
        <f t="shared" si="2"/>
        <v>CONFERE</v>
      </c>
      <c r="G13" s="8"/>
      <c r="H13" s="7" t="s">
        <v>62</v>
      </c>
      <c r="I13" s="8"/>
      <c r="J13" s="8"/>
      <c r="K13" s="21" t="s">
        <v>53</v>
      </c>
      <c r="L13" s="8"/>
    </row>
    <row r="14" ht="49.5" customHeight="1">
      <c r="A14" s="22">
        <v>46324.0</v>
      </c>
      <c r="B14" s="23">
        <v>0.08333333333333333</v>
      </c>
      <c r="C14" s="24">
        <v>0.5</v>
      </c>
      <c r="D14" s="24">
        <v>0.5833333333333334</v>
      </c>
      <c r="E14" s="25">
        <f t="shared" si="1"/>
        <v>0.08333333333</v>
      </c>
      <c r="F14" s="26" t="str">
        <f t="shared" si="2"/>
        <v>CONFERE</v>
      </c>
      <c r="G14" s="27"/>
      <c r="H14" s="28" t="s">
        <v>63</v>
      </c>
      <c r="I14" s="27"/>
      <c r="J14" s="27"/>
      <c r="K14" s="29" t="s">
        <v>53</v>
      </c>
      <c r="L14" s="27"/>
    </row>
    <row r="15" ht="49.5" customHeight="1">
      <c r="A15" s="18">
        <v>46324.0</v>
      </c>
      <c r="B15" s="5">
        <v>0.017361111111111112</v>
      </c>
      <c r="C15" s="4">
        <v>0.5833333333333334</v>
      </c>
      <c r="D15" s="4">
        <v>0.6006944444444444</v>
      </c>
      <c r="E15" s="19">
        <f t="shared" si="1"/>
        <v>0.01736111111</v>
      </c>
      <c r="F15" s="20" t="str">
        <f t="shared" si="2"/>
        <v>CONFERE</v>
      </c>
      <c r="G15" s="8"/>
      <c r="H15" s="7" t="s">
        <v>64</v>
      </c>
      <c r="I15" s="7" t="s">
        <v>65</v>
      </c>
      <c r="J15" s="8"/>
      <c r="K15" s="21" t="s">
        <v>53</v>
      </c>
      <c r="L15" s="8"/>
    </row>
    <row r="16" ht="49.5" customHeight="1">
      <c r="A16" s="22">
        <v>46324.0</v>
      </c>
      <c r="B16" s="23">
        <v>0.017361111111111112</v>
      </c>
      <c r="C16" s="24">
        <v>0.6006944444444444</v>
      </c>
      <c r="D16" s="24">
        <v>0.6180555555555556</v>
      </c>
      <c r="E16" s="25">
        <f t="shared" si="1"/>
        <v>0.01736111111</v>
      </c>
      <c r="F16" s="26" t="str">
        <f t="shared" si="2"/>
        <v>CONFERE</v>
      </c>
      <c r="G16" s="27"/>
      <c r="H16" s="28" t="s">
        <v>66</v>
      </c>
      <c r="I16" s="28" t="s">
        <v>67</v>
      </c>
      <c r="J16" s="27"/>
      <c r="K16" s="29" t="s">
        <v>53</v>
      </c>
      <c r="L16" s="27"/>
    </row>
    <row r="17" ht="49.5" customHeight="1">
      <c r="A17" s="18">
        <v>46324.0</v>
      </c>
      <c r="B17" s="5">
        <v>0.010416666666666666</v>
      </c>
      <c r="C17" s="4">
        <v>0.6180555555555556</v>
      </c>
      <c r="D17" s="4">
        <v>0.6284722222222222</v>
      </c>
      <c r="E17" s="19">
        <f t="shared" si="1"/>
        <v>0.01041666667</v>
      </c>
      <c r="F17" s="20" t="str">
        <f t="shared" si="2"/>
        <v>CONFERE</v>
      </c>
      <c r="G17" s="8"/>
      <c r="H17" s="7" t="s">
        <v>56</v>
      </c>
      <c r="I17" s="8"/>
      <c r="J17" s="8"/>
      <c r="K17" s="21" t="s">
        <v>53</v>
      </c>
      <c r="L17" s="8"/>
    </row>
    <row r="18" ht="49.5" customHeight="1">
      <c r="A18" s="22">
        <v>46324.0</v>
      </c>
      <c r="B18" s="23">
        <v>0.03125</v>
      </c>
      <c r="C18" s="24">
        <v>0.6284722222222222</v>
      </c>
      <c r="D18" s="24">
        <v>0.6597222222222222</v>
      </c>
      <c r="E18" s="25">
        <f t="shared" si="1"/>
        <v>0.03125</v>
      </c>
      <c r="F18" s="26" t="str">
        <f t="shared" si="2"/>
        <v>CONFERE</v>
      </c>
      <c r="G18" s="27"/>
      <c r="H18" s="28" t="s">
        <v>57</v>
      </c>
      <c r="I18" s="27"/>
      <c r="J18" s="27"/>
      <c r="K18" s="29" t="s">
        <v>53</v>
      </c>
      <c r="L18" s="27"/>
    </row>
    <row r="19" ht="49.5" customHeight="1">
      <c r="A19" s="18">
        <v>46324.0</v>
      </c>
      <c r="B19" s="5">
        <v>0.017361111111111112</v>
      </c>
      <c r="C19" s="4">
        <v>0.6597222222222222</v>
      </c>
      <c r="D19" s="4">
        <v>0.6770833333333334</v>
      </c>
      <c r="E19" s="19">
        <f t="shared" si="1"/>
        <v>0.01736111111</v>
      </c>
      <c r="F19" s="20" t="str">
        <f t="shared" si="2"/>
        <v>CONFERE</v>
      </c>
      <c r="G19" s="8"/>
      <c r="H19" s="7" t="s">
        <v>68</v>
      </c>
      <c r="I19" s="7" t="s">
        <v>69</v>
      </c>
      <c r="J19" s="8"/>
      <c r="K19" s="21" t="s">
        <v>53</v>
      </c>
      <c r="L19" s="8"/>
    </row>
    <row r="20" ht="49.5" customHeight="1">
      <c r="A20" s="22">
        <v>46324.0</v>
      </c>
      <c r="B20" s="23">
        <v>0.017361111111111112</v>
      </c>
      <c r="C20" s="24">
        <v>0.6770833333333334</v>
      </c>
      <c r="D20" s="24">
        <v>0.6944444444444444</v>
      </c>
      <c r="E20" s="25">
        <f t="shared" si="1"/>
        <v>0.01736111111</v>
      </c>
      <c r="F20" s="26" t="str">
        <f t="shared" si="2"/>
        <v>CONFERE</v>
      </c>
      <c r="G20" s="27"/>
      <c r="H20" s="28" t="s">
        <v>70</v>
      </c>
      <c r="I20" s="28" t="s">
        <v>71</v>
      </c>
      <c r="J20" s="27"/>
      <c r="K20" s="29" t="s">
        <v>53</v>
      </c>
      <c r="L20" s="27"/>
    </row>
    <row r="21" ht="49.5" customHeight="1">
      <c r="A21" s="18">
        <v>46324.0</v>
      </c>
      <c r="B21" s="5">
        <v>0.010416666666666666</v>
      </c>
      <c r="C21" s="4">
        <v>0.6944444444444444</v>
      </c>
      <c r="D21" s="4">
        <v>0.7048611111111112</v>
      </c>
      <c r="E21" s="19">
        <f t="shared" si="1"/>
        <v>0.01041666667</v>
      </c>
      <c r="F21" s="20" t="str">
        <f t="shared" si="2"/>
        <v>CONFERE</v>
      </c>
      <c r="G21" s="8"/>
      <c r="H21" s="7" t="s">
        <v>56</v>
      </c>
      <c r="I21" s="8"/>
      <c r="J21" s="8"/>
      <c r="K21" s="21" t="s">
        <v>53</v>
      </c>
      <c r="L21" s="8"/>
    </row>
    <row r="22" ht="49.5" customHeight="1">
      <c r="A22" s="22">
        <v>46324.0</v>
      </c>
      <c r="B22" s="23">
        <v>0.017361111111111112</v>
      </c>
      <c r="C22" s="24">
        <v>0.7048611111111112</v>
      </c>
      <c r="D22" s="24">
        <v>0.7222222222222222</v>
      </c>
      <c r="E22" s="25">
        <f t="shared" si="1"/>
        <v>0.01736111111</v>
      </c>
      <c r="F22" s="26" t="str">
        <f t="shared" si="2"/>
        <v>CONFERE</v>
      </c>
      <c r="G22" s="27"/>
      <c r="H22" s="28" t="s">
        <v>72</v>
      </c>
      <c r="I22" s="28" t="s">
        <v>73</v>
      </c>
      <c r="J22" s="27"/>
      <c r="K22" s="29" t="s">
        <v>53</v>
      </c>
      <c r="L22" s="27"/>
    </row>
    <row r="23" ht="49.5" customHeight="1">
      <c r="A23" s="18">
        <v>46324.0</v>
      </c>
      <c r="B23" s="5">
        <v>0.006944444444444444</v>
      </c>
      <c r="C23" s="4">
        <v>0.7222222222222222</v>
      </c>
      <c r="D23" s="4">
        <v>0.7291666666666666</v>
      </c>
      <c r="E23" s="19">
        <f t="shared" si="1"/>
        <v>0.006944444444</v>
      </c>
      <c r="F23" s="20" t="str">
        <f t="shared" si="2"/>
        <v>CONFERE</v>
      </c>
      <c r="G23" s="8"/>
      <c r="H23" s="7" t="s">
        <v>33</v>
      </c>
      <c r="I23" s="8"/>
      <c r="J23" s="8"/>
      <c r="K23" s="21" t="s">
        <v>53</v>
      </c>
      <c r="L23" s="8"/>
    </row>
    <row r="24" ht="49.5" customHeight="1">
      <c r="A24" s="22">
        <v>46325.0</v>
      </c>
      <c r="B24" s="23">
        <v>0.017361111111111112</v>
      </c>
      <c r="C24" s="24">
        <v>0.375</v>
      </c>
      <c r="D24" s="24">
        <v>0.3923611111111111</v>
      </c>
      <c r="E24" s="25">
        <f t="shared" si="1"/>
        <v>0.01736111111</v>
      </c>
      <c r="F24" s="26" t="str">
        <f t="shared" si="2"/>
        <v>SOBREPOSIÇÃO</v>
      </c>
      <c r="G24" s="28" t="s">
        <v>74</v>
      </c>
      <c r="H24" s="28" t="s">
        <v>52</v>
      </c>
      <c r="I24" s="27"/>
      <c r="J24" s="27"/>
      <c r="K24" s="29" t="s">
        <v>53</v>
      </c>
      <c r="L24" s="27"/>
    </row>
    <row r="25" ht="49.5" customHeight="1">
      <c r="A25" s="18">
        <v>46325.0</v>
      </c>
      <c r="B25" s="5">
        <v>0.017361111111111112</v>
      </c>
      <c r="C25" s="4">
        <v>0.375</v>
      </c>
      <c r="D25" s="4">
        <v>0.3923611111111111</v>
      </c>
      <c r="E25" s="19">
        <f t="shared" si="1"/>
        <v>0.01736111111</v>
      </c>
      <c r="F25" s="20" t="str">
        <f t="shared" si="2"/>
        <v>SOBREPOSIÇÃO</v>
      </c>
      <c r="G25" s="7" t="s">
        <v>75</v>
      </c>
      <c r="H25" s="7" t="s">
        <v>54</v>
      </c>
      <c r="I25" s="7" t="s">
        <v>76</v>
      </c>
      <c r="J25" s="8"/>
      <c r="K25" s="21" t="s">
        <v>53</v>
      </c>
      <c r="L25" s="8"/>
    </row>
    <row r="26" ht="49.5" customHeight="1">
      <c r="A26" s="22">
        <v>46325.0</v>
      </c>
      <c r="B26" s="23">
        <v>0.010416666666666666</v>
      </c>
      <c r="C26" s="24">
        <v>0.4097222222222222</v>
      </c>
      <c r="D26" s="24">
        <v>0.4201388888888889</v>
      </c>
      <c r="E26" s="25">
        <f t="shared" si="1"/>
        <v>0.01041666667</v>
      </c>
      <c r="F26" s="26" t="str">
        <f t="shared" si="2"/>
        <v>CONFERE</v>
      </c>
      <c r="G26" s="28" t="s">
        <v>77</v>
      </c>
      <c r="H26" s="28" t="s">
        <v>56</v>
      </c>
      <c r="I26" s="27"/>
      <c r="J26" s="27"/>
      <c r="K26" s="29" t="s">
        <v>53</v>
      </c>
      <c r="L26" s="27"/>
    </row>
    <row r="27" ht="49.5" customHeight="1">
      <c r="A27" s="18">
        <v>46325.0</v>
      </c>
      <c r="B27" s="5">
        <v>0.03125</v>
      </c>
      <c r="C27" s="4">
        <v>0.4201388888888889</v>
      </c>
      <c r="D27" s="4">
        <v>0.4513888888888889</v>
      </c>
      <c r="E27" s="19">
        <f t="shared" si="1"/>
        <v>0.03125</v>
      </c>
      <c r="F27" s="20" t="str">
        <f t="shared" si="2"/>
        <v>CONFERE</v>
      </c>
      <c r="G27" s="7" t="s">
        <v>78</v>
      </c>
      <c r="H27" s="7" t="s">
        <v>57</v>
      </c>
      <c r="I27" s="7" t="s">
        <v>79</v>
      </c>
      <c r="J27" s="8"/>
      <c r="K27" s="21" t="s">
        <v>53</v>
      </c>
      <c r="L27" s="8"/>
    </row>
    <row r="28" ht="49.5" customHeight="1">
      <c r="A28" s="22">
        <v>46325.0</v>
      </c>
      <c r="B28" s="23">
        <v>0.017361111111111112</v>
      </c>
      <c r="C28" s="24">
        <v>0.4513888888888889</v>
      </c>
      <c r="D28" s="24">
        <v>0.46875</v>
      </c>
      <c r="E28" s="25">
        <f t="shared" si="1"/>
        <v>0.01736111111</v>
      </c>
      <c r="F28" s="26" t="str">
        <f t="shared" si="2"/>
        <v>CONFERE</v>
      </c>
      <c r="G28" s="28" t="s">
        <v>80</v>
      </c>
      <c r="H28" s="28" t="s">
        <v>59</v>
      </c>
      <c r="I28" s="28" t="s">
        <v>81</v>
      </c>
      <c r="J28" s="27"/>
      <c r="K28" s="29" t="s">
        <v>53</v>
      </c>
      <c r="L28" s="27"/>
    </row>
    <row r="29" ht="49.5" customHeight="1">
      <c r="A29" s="18">
        <v>46325.0</v>
      </c>
      <c r="B29" s="5">
        <v>0.017361111111111112</v>
      </c>
      <c r="C29" s="4">
        <v>0.46875</v>
      </c>
      <c r="D29" s="4">
        <v>0.4861111111111111</v>
      </c>
      <c r="E29" s="19">
        <f t="shared" si="1"/>
        <v>0.01736111111</v>
      </c>
      <c r="F29" s="20" t="str">
        <f t="shared" si="2"/>
        <v>CONFERE</v>
      </c>
      <c r="G29" s="7" t="s">
        <v>82</v>
      </c>
      <c r="H29" s="7" t="s">
        <v>60</v>
      </c>
      <c r="I29" s="7" t="s">
        <v>83</v>
      </c>
      <c r="J29" s="8"/>
      <c r="K29" s="21" t="s">
        <v>53</v>
      </c>
      <c r="L29" s="8"/>
    </row>
    <row r="30" ht="49.5" customHeight="1">
      <c r="A30" s="22">
        <v>46325.0</v>
      </c>
      <c r="B30" s="23">
        <v>0.013888888888888888</v>
      </c>
      <c r="C30" s="24">
        <v>0.4861111111111111</v>
      </c>
      <c r="D30" s="24">
        <v>0.5</v>
      </c>
      <c r="E30" s="25">
        <f t="shared" si="1"/>
        <v>0.01388888889</v>
      </c>
      <c r="F30" s="26" t="str">
        <f t="shared" si="2"/>
        <v>CONFERE</v>
      </c>
      <c r="G30" s="28" t="s">
        <v>84</v>
      </c>
      <c r="H30" s="28" t="s">
        <v>62</v>
      </c>
      <c r="I30" s="27"/>
      <c r="J30" s="27"/>
      <c r="K30" s="29" t="s">
        <v>53</v>
      </c>
      <c r="L30" s="27"/>
    </row>
    <row r="31" ht="49.5" customHeight="1">
      <c r="A31" s="18">
        <v>46325.0</v>
      </c>
      <c r="B31" s="5">
        <v>0.08333333333333333</v>
      </c>
      <c r="C31" s="4">
        <v>0.5</v>
      </c>
      <c r="D31" s="4">
        <v>0.5833333333333334</v>
      </c>
      <c r="E31" s="19">
        <f t="shared" si="1"/>
        <v>0.08333333333</v>
      </c>
      <c r="F31" s="20" t="str">
        <f t="shared" si="2"/>
        <v>CONFERE</v>
      </c>
      <c r="G31" s="7" t="s">
        <v>85</v>
      </c>
      <c r="H31" s="7" t="s">
        <v>63</v>
      </c>
      <c r="I31" s="8"/>
      <c r="J31" s="8"/>
      <c r="K31" s="21" t="s">
        <v>53</v>
      </c>
      <c r="L31" s="8"/>
    </row>
    <row r="32" ht="49.5" customHeight="1">
      <c r="A32" s="22">
        <v>46325.0</v>
      </c>
      <c r="B32" s="23">
        <v>0.017361111111111112</v>
      </c>
      <c r="C32" s="24">
        <v>0.5833333333333334</v>
      </c>
      <c r="D32" s="24">
        <v>0.6006944444444444</v>
      </c>
      <c r="E32" s="25">
        <f t="shared" si="1"/>
        <v>0.01736111111</v>
      </c>
      <c r="F32" s="26" t="str">
        <f t="shared" si="2"/>
        <v>CONFERE</v>
      </c>
      <c r="G32" s="28" t="s">
        <v>86</v>
      </c>
      <c r="H32" s="28" t="s">
        <v>64</v>
      </c>
      <c r="I32" s="28" t="s">
        <v>87</v>
      </c>
      <c r="J32" s="27"/>
      <c r="K32" s="29" t="s">
        <v>53</v>
      </c>
      <c r="L32" s="27"/>
    </row>
    <row r="33" ht="49.5" customHeight="1">
      <c r="A33" s="18">
        <v>46325.0</v>
      </c>
      <c r="B33" s="5">
        <v>0.017361111111111112</v>
      </c>
      <c r="C33" s="4">
        <v>0.6006944444444444</v>
      </c>
      <c r="D33" s="4">
        <v>0.6180555555555556</v>
      </c>
      <c r="E33" s="19">
        <f t="shared" si="1"/>
        <v>0.01736111111</v>
      </c>
      <c r="F33" s="20" t="str">
        <f t="shared" si="2"/>
        <v>CONFERE</v>
      </c>
      <c r="G33" s="7" t="s">
        <v>88</v>
      </c>
      <c r="H33" s="7" t="s">
        <v>66</v>
      </c>
      <c r="I33" s="7" t="s">
        <v>89</v>
      </c>
      <c r="J33" s="8"/>
      <c r="K33" s="21" t="s">
        <v>53</v>
      </c>
      <c r="L33" s="8"/>
    </row>
    <row r="34" ht="49.5" customHeight="1">
      <c r="A34" s="22">
        <v>46325.0</v>
      </c>
      <c r="B34" s="23">
        <v>0.010416666666666666</v>
      </c>
      <c r="C34" s="24">
        <v>0.6180555555555556</v>
      </c>
      <c r="D34" s="24">
        <v>0.6284722222222222</v>
      </c>
      <c r="E34" s="25">
        <f t="shared" si="1"/>
        <v>0.01041666667</v>
      </c>
      <c r="F34" s="26" t="str">
        <f t="shared" si="2"/>
        <v>CONFERE</v>
      </c>
      <c r="G34" s="28" t="s">
        <v>90</v>
      </c>
      <c r="H34" s="28" t="s">
        <v>56</v>
      </c>
      <c r="I34" s="27"/>
      <c r="J34" s="27"/>
      <c r="K34" s="29" t="s">
        <v>53</v>
      </c>
      <c r="L34" s="27"/>
    </row>
    <row r="35" ht="49.5" customHeight="1">
      <c r="A35" s="18">
        <v>46325.0</v>
      </c>
      <c r="B35" s="5">
        <v>0.03125</v>
      </c>
      <c r="C35" s="4">
        <v>0.6284722222222222</v>
      </c>
      <c r="D35" s="4">
        <v>0.6597222222222222</v>
      </c>
      <c r="E35" s="19">
        <f t="shared" si="1"/>
        <v>0.03125</v>
      </c>
      <c r="F35" s="20" t="str">
        <f t="shared" si="2"/>
        <v>CONFERE</v>
      </c>
      <c r="G35" s="7" t="s">
        <v>91</v>
      </c>
      <c r="H35" s="7" t="s">
        <v>57</v>
      </c>
      <c r="I35" s="7" t="s">
        <v>92</v>
      </c>
      <c r="J35" s="8"/>
      <c r="K35" s="21" t="s">
        <v>53</v>
      </c>
      <c r="L35" s="8"/>
    </row>
    <row r="36" ht="49.5" customHeight="1">
      <c r="A36" s="22">
        <v>46325.0</v>
      </c>
      <c r="B36" s="23">
        <v>0.017361111111111112</v>
      </c>
      <c r="C36" s="24">
        <v>0.6597222222222222</v>
      </c>
      <c r="D36" s="24">
        <v>0.6770833333333334</v>
      </c>
      <c r="E36" s="25">
        <f t="shared" si="1"/>
        <v>0.01736111111</v>
      </c>
      <c r="F36" s="26" t="str">
        <f t="shared" si="2"/>
        <v>CONFERE</v>
      </c>
      <c r="G36" s="28" t="s">
        <v>93</v>
      </c>
      <c r="H36" s="28" t="s">
        <v>68</v>
      </c>
      <c r="I36" s="28" t="s">
        <v>94</v>
      </c>
      <c r="J36" s="27"/>
      <c r="K36" s="29" t="s">
        <v>53</v>
      </c>
      <c r="L36" s="27"/>
    </row>
    <row r="37" ht="49.5" customHeight="1">
      <c r="A37" s="18">
        <v>46325.0</v>
      </c>
      <c r="B37" s="5">
        <v>0.017361111111111112</v>
      </c>
      <c r="C37" s="4">
        <v>0.6770833333333334</v>
      </c>
      <c r="D37" s="4">
        <v>0.6944444444444444</v>
      </c>
      <c r="E37" s="19">
        <f t="shared" si="1"/>
        <v>0.01736111111</v>
      </c>
      <c r="F37" s="20" t="str">
        <f t="shared" si="2"/>
        <v>CONFERE</v>
      </c>
      <c r="G37" s="7" t="s">
        <v>95</v>
      </c>
      <c r="H37" s="7" t="s">
        <v>70</v>
      </c>
      <c r="I37" s="7" t="s">
        <v>96</v>
      </c>
      <c r="J37" s="8"/>
      <c r="K37" s="21" t="s">
        <v>53</v>
      </c>
      <c r="L37" s="8"/>
    </row>
    <row r="38" ht="49.5" customHeight="1">
      <c r="A38" s="22">
        <v>46325.0</v>
      </c>
      <c r="B38" s="23">
        <v>0.010416666666666666</v>
      </c>
      <c r="C38" s="24">
        <v>0.6944444444444444</v>
      </c>
      <c r="D38" s="24">
        <v>0.7048611111111112</v>
      </c>
      <c r="E38" s="25">
        <f t="shared" si="1"/>
        <v>0.01041666667</v>
      </c>
      <c r="F38" s="26" t="str">
        <f t="shared" si="2"/>
        <v>CONFERE</v>
      </c>
      <c r="G38" s="28" t="s">
        <v>97</v>
      </c>
      <c r="H38" s="28" t="s">
        <v>56</v>
      </c>
      <c r="I38" s="27"/>
      <c r="J38" s="27"/>
      <c r="K38" s="29" t="s">
        <v>53</v>
      </c>
      <c r="L38" s="27"/>
    </row>
    <row r="39" ht="49.5" customHeight="1">
      <c r="A39" s="18">
        <v>46325.0</v>
      </c>
      <c r="B39" s="5">
        <v>0.017361111111111112</v>
      </c>
      <c r="C39" s="4">
        <v>0.7048611111111112</v>
      </c>
      <c r="D39" s="4">
        <v>0.7222222222222222</v>
      </c>
      <c r="E39" s="19">
        <f t="shared" si="1"/>
        <v>0.01736111111</v>
      </c>
      <c r="F39" s="20" t="str">
        <f t="shared" si="2"/>
        <v>CONFERE</v>
      </c>
      <c r="G39" s="7" t="s">
        <v>98</v>
      </c>
      <c r="H39" s="7" t="s">
        <v>72</v>
      </c>
      <c r="I39" s="7" t="s">
        <v>99</v>
      </c>
      <c r="J39" s="8"/>
      <c r="K39" s="21" t="s">
        <v>53</v>
      </c>
      <c r="L39" s="8"/>
    </row>
    <row r="40" ht="49.5" customHeight="1">
      <c r="A40" s="22">
        <v>46325.0</v>
      </c>
      <c r="B40" s="23">
        <v>0.006944444444444444</v>
      </c>
      <c r="C40" s="24">
        <v>0.7222222222222222</v>
      </c>
      <c r="D40" s="24">
        <v>0.7291666666666666</v>
      </c>
      <c r="E40" s="25">
        <f t="shared" si="1"/>
        <v>0.006944444444</v>
      </c>
      <c r="F40" s="26" t="str">
        <f t="shared" si="2"/>
        <v>CONFERE</v>
      </c>
      <c r="G40" s="28" t="s">
        <v>100</v>
      </c>
      <c r="H40" s="28" t="s">
        <v>33</v>
      </c>
      <c r="I40" s="27"/>
      <c r="J40" s="27"/>
      <c r="K40" s="29" t="s">
        <v>53</v>
      </c>
      <c r="L40" s="27"/>
    </row>
    <row r="41">
      <c r="K41" s="30"/>
    </row>
    <row r="42">
      <c r="K42" s="30"/>
    </row>
    <row r="43">
      <c r="K43" s="30"/>
    </row>
    <row r="44">
      <c r="K44" s="30"/>
    </row>
    <row r="45">
      <c r="K45" s="30"/>
    </row>
    <row r="46">
      <c r="K46" s="30"/>
    </row>
    <row r="47">
      <c r="K47" s="30"/>
    </row>
    <row r="48">
      <c r="K48" s="30"/>
    </row>
    <row r="49">
      <c r="K49" s="30"/>
    </row>
    <row r="50">
      <c r="K50" s="30"/>
    </row>
    <row r="51">
      <c r="K51" s="30"/>
    </row>
    <row r="52">
      <c r="K52" s="30"/>
    </row>
    <row r="53">
      <c r="K53" s="30"/>
    </row>
    <row r="54">
      <c r="K54" s="30"/>
    </row>
    <row r="55">
      <c r="K55" s="30"/>
    </row>
    <row r="56">
      <c r="K56" s="30"/>
    </row>
    <row r="57">
      <c r="K57" s="30"/>
    </row>
    <row r="58">
      <c r="K58" s="30"/>
    </row>
    <row r="59">
      <c r="K59" s="30"/>
    </row>
    <row r="60">
      <c r="K60" s="30"/>
    </row>
    <row r="61">
      <c r="K61" s="30"/>
    </row>
    <row r="62">
      <c r="K62" s="30"/>
    </row>
    <row r="63">
      <c r="K63" s="30"/>
    </row>
    <row r="64">
      <c r="K64" s="30"/>
    </row>
    <row r="65">
      <c r="K65" s="30"/>
    </row>
    <row r="66">
      <c r="K66" s="30"/>
    </row>
    <row r="67">
      <c r="K67" s="30"/>
    </row>
    <row r="68">
      <c r="K68" s="30"/>
    </row>
    <row r="69">
      <c r="K69" s="30"/>
    </row>
    <row r="70">
      <c r="K70" s="30"/>
    </row>
    <row r="71">
      <c r="K71" s="30"/>
    </row>
    <row r="72">
      <c r="K72" s="30"/>
    </row>
    <row r="73">
      <c r="K73" s="30"/>
    </row>
    <row r="74">
      <c r="K74" s="30"/>
    </row>
    <row r="75">
      <c r="K75" s="30"/>
    </row>
    <row r="76">
      <c r="K76" s="30"/>
    </row>
    <row r="77">
      <c r="K77" s="30"/>
    </row>
    <row r="78">
      <c r="K78" s="30"/>
    </row>
    <row r="79">
      <c r="K79" s="30"/>
    </row>
    <row r="80">
      <c r="K80" s="30"/>
    </row>
    <row r="81">
      <c r="K81" s="30"/>
    </row>
    <row r="82">
      <c r="K82" s="30"/>
    </row>
    <row r="83">
      <c r="K83" s="30"/>
    </row>
    <row r="84">
      <c r="K84" s="30"/>
    </row>
    <row r="85">
      <c r="K85" s="30"/>
    </row>
    <row r="86">
      <c r="K86" s="30"/>
    </row>
    <row r="87">
      <c r="K87" s="30"/>
    </row>
    <row r="88">
      <c r="K88" s="30"/>
    </row>
    <row r="89">
      <c r="K89" s="30"/>
    </row>
    <row r="90">
      <c r="K90" s="30"/>
    </row>
    <row r="91">
      <c r="K91" s="30"/>
    </row>
    <row r="92">
      <c r="K92" s="30"/>
    </row>
    <row r="93">
      <c r="K93" s="30"/>
    </row>
    <row r="94">
      <c r="K94" s="30"/>
    </row>
    <row r="95">
      <c r="K95" s="30"/>
    </row>
    <row r="96">
      <c r="K96" s="30"/>
    </row>
    <row r="97">
      <c r="K97" s="30"/>
    </row>
    <row r="98">
      <c r="K98" s="30"/>
    </row>
    <row r="99">
      <c r="K99" s="30"/>
    </row>
    <row r="100">
      <c r="K100" s="30"/>
    </row>
    <row r="101">
      <c r="K101" s="30"/>
    </row>
    <row r="102">
      <c r="K102" s="30"/>
    </row>
    <row r="103">
      <c r="K103" s="30"/>
    </row>
    <row r="104">
      <c r="K104" s="30"/>
    </row>
    <row r="105">
      <c r="K105" s="30"/>
    </row>
    <row r="106">
      <c r="K106" s="30"/>
    </row>
    <row r="107">
      <c r="K107" s="30"/>
    </row>
    <row r="108">
      <c r="K108" s="30"/>
    </row>
    <row r="109">
      <c r="K109" s="30"/>
    </row>
    <row r="110">
      <c r="K110" s="30"/>
    </row>
    <row r="111">
      <c r="K111" s="30"/>
    </row>
    <row r="112">
      <c r="K112" s="30"/>
    </row>
    <row r="113">
      <c r="K113" s="30"/>
    </row>
    <row r="114">
      <c r="K114" s="30"/>
    </row>
    <row r="115">
      <c r="K115" s="30"/>
    </row>
    <row r="116">
      <c r="K116" s="30"/>
    </row>
    <row r="117">
      <c r="K117" s="30"/>
    </row>
    <row r="118">
      <c r="K118" s="30"/>
    </row>
    <row r="119">
      <c r="K119" s="30"/>
    </row>
    <row r="120">
      <c r="K120" s="30"/>
    </row>
    <row r="121">
      <c r="K121" s="30"/>
    </row>
    <row r="122">
      <c r="K122" s="30"/>
    </row>
    <row r="123">
      <c r="K123" s="30"/>
    </row>
    <row r="124">
      <c r="K124" s="30"/>
    </row>
    <row r="125">
      <c r="K125" s="30"/>
    </row>
    <row r="126">
      <c r="K126" s="30"/>
    </row>
    <row r="127">
      <c r="K127" s="30"/>
    </row>
    <row r="128">
      <c r="K128" s="30"/>
    </row>
    <row r="129">
      <c r="K129" s="30"/>
    </row>
    <row r="130">
      <c r="K130" s="30"/>
    </row>
    <row r="131">
      <c r="K131" s="30"/>
    </row>
    <row r="132">
      <c r="K132" s="30"/>
    </row>
    <row r="133">
      <c r="K133" s="30"/>
    </row>
    <row r="134">
      <c r="K134" s="30"/>
    </row>
    <row r="135">
      <c r="K135" s="30"/>
    </row>
    <row r="136">
      <c r="K136" s="30"/>
    </row>
    <row r="137">
      <c r="K137" s="30"/>
    </row>
    <row r="138">
      <c r="K138" s="30"/>
    </row>
    <row r="139">
      <c r="K139" s="30"/>
    </row>
    <row r="140">
      <c r="K140" s="30"/>
    </row>
    <row r="141">
      <c r="K141" s="30"/>
    </row>
    <row r="142">
      <c r="K142" s="30"/>
    </row>
    <row r="143">
      <c r="K143" s="30"/>
    </row>
    <row r="144">
      <c r="K144" s="30"/>
    </row>
    <row r="145">
      <c r="K145" s="30"/>
    </row>
    <row r="146">
      <c r="K146" s="30"/>
    </row>
    <row r="147">
      <c r="K147" s="30"/>
    </row>
    <row r="148">
      <c r="K148" s="30"/>
    </row>
    <row r="149">
      <c r="K149" s="30"/>
    </row>
    <row r="150">
      <c r="K150" s="30"/>
    </row>
    <row r="151">
      <c r="K151" s="30"/>
    </row>
    <row r="152">
      <c r="K152" s="30"/>
    </row>
    <row r="153">
      <c r="K153" s="30"/>
    </row>
    <row r="154">
      <c r="K154" s="30"/>
    </row>
    <row r="155">
      <c r="K155" s="30"/>
    </row>
    <row r="156">
      <c r="K156" s="30"/>
    </row>
    <row r="157">
      <c r="K157" s="30"/>
    </row>
    <row r="158">
      <c r="K158" s="30"/>
    </row>
    <row r="159">
      <c r="K159" s="30"/>
    </row>
    <row r="160">
      <c r="K160" s="30"/>
    </row>
    <row r="161">
      <c r="K161" s="30"/>
    </row>
    <row r="162">
      <c r="K162" s="30"/>
    </row>
    <row r="163">
      <c r="K163" s="30"/>
    </row>
    <row r="164">
      <c r="K164" s="30"/>
    </row>
    <row r="165">
      <c r="K165" s="30"/>
    </row>
    <row r="166">
      <c r="K166" s="30"/>
    </row>
    <row r="167">
      <c r="K167" s="30"/>
    </row>
    <row r="168">
      <c r="K168" s="30"/>
    </row>
    <row r="169">
      <c r="K169" s="30"/>
    </row>
    <row r="170">
      <c r="K170" s="30"/>
    </row>
    <row r="171">
      <c r="K171" s="30"/>
    </row>
    <row r="172">
      <c r="K172" s="30"/>
    </row>
    <row r="173">
      <c r="K173" s="30"/>
    </row>
    <row r="174">
      <c r="K174" s="30"/>
    </row>
    <row r="175">
      <c r="K175" s="30"/>
    </row>
    <row r="176">
      <c r="K176" s="30"/>
    </row>
    <row r="177">
      <c r="K177" s="30"/>
    </row>
    <row r="178">
      <c r="K178" s="30"/>
    </row>
    <row r="179">
      <c r="K179" s="30"/>
    </row>
    <row r="180">
      <c r="K180" s="30"/>
    </row>
    <row r="181">
      <c r="K181" s="30"/>
    </row>
    <row r="182">
      <c r="K182" s="30"/>
    </row>
    <row r="183">
      <c r="K183" s="30"/>
    </row>
    <row r="184">
      <c r="K184" s="30"/>
    </row>
    <row r="185">
      <c r="K185" s="30"/>
    </row>
    <row r="186">
      <c r="K186" s="30"/>
    </row>
    <row r="187">
      <c r="K187" s="30"/>
    </row>
    <row r="188">
      <c r="K188" s="30"/>
    </row>
    <row r="189">
      <c r="K189" s="30"/>
    </row>
    <row r="190">
      <c r="K190" s="30"/>
    </row>
    <row r="191">
      <c r="K191" s="30"/>
    </row>
    <row r="192">
      <c r="K192" s="30"/>
    </row>
    <row r="193">
      <c r="K193" s="30"/>
    </row>
    <row r="194">
      <c r="K194" s="30"/>
    </row>
    <row r="195">
      <c r="K195" s="30"/>
    </row>
    <row r="196">
      <c r="K196" s="30"/>
    </row>
    <row r="197">
      <c r="K197" s="30"/>
    </row>
    <row r="198">
      <c r="K198" s="30"/>
    </row>
    <row r="199">
      <c r="K199" s="30"/>
    </row>
    <row r="200">
      <c r="K200" s="30"/>
    </row>
    <row r="201">
      <c r="K201" s="30"/>
    </row>
    <row r="202">
      <c r="K202" s="30"/>
    </row>
    <row r="203">
      <c r="K203" s="30"/>
    </row>
    <row r="204">
      <c r="K204" s="30"/>
    </row>
    <row r="205">
      <c r="K205" s="30"/>
    </row>
    <row r="206">
      <c r="K206" s="30"/>
    </row>
    <row r="207">
      <c r="K207" s="30"/>
    </row>
    <row r="208">
      <c r="K208" s="30"/>
    </row>
    <row r="209">
      <c r="K209" s="30"/>
    </row>
    <row r="210">
      <c r="K210" s="30"/>
    </row>
    <row r="211">
      <c r="K211" s="30"/>
    </row>
    <row r="212">
      <c r="K212" s="30"/>
    </row>
    <row r="213">
      <c r="K213" s="30"/>
    </row>
    <row r="214">
      <c r="K214" s="30"/>
    </row>
    <row r="215">
      <c r="K215" s="30"/>
    </row>
    <row r="216">
      <c r="K216" s="30"/>
    </row>
    <row r="217">
      <c r="K217" s="30"/>
    </row>
    <row r="218">
      <c r="K218" s="30"/>
    </row>
    <row r="219">
      <c r="K219" s="30"/>
    </row>
    <row r="220">
      <c r="K220" s="30"/>
    </row>
    <row r="221">
      <c r="K221" s="30"/>
    </row>
    <row r="222">
      <c r="K222" s="30"/>
    </row>
    <row r="223">
      <c r="K223" s="30"/>
    </row>
    <row r="224">
      <c r="K224" s="30"/>
    </row>
    <row r="225">
      <c r="K225" s="30"/>
    </row>
    <row r="226">
      <c r="K226" s="30"/>
    </row>
    <row r="227">
      <c r="K227" s="30"/>
    </row>
    <row r="228">
      <c r="K228" s="30"/>
    </row>
    <row r="229">
      <c r="K229" s="30"/>
    </row>
    <row r="230">
      <c r="K230" s="30"/>
    </row>
    <row r="231">
      <c r="K231" s="30"/>
    </row>
    <row r="232">
      <c r="K232" s="30"/>
    </row>
    <row r="233">
      <c r="K233" s="30"/>
    </row>
    <row r="234">
      <c r="K234" s="30"/>
    </row>
    <row r="235">
      <c r="K235" s="30"/>
    </row>
    <row r="236">
      <c r="K236" s="30"/>
    </row>
    <row r="237">
      <c r="K237" s="30"/>
    </row>
    <row r="238">
      <c r="K238" s="30"/>
    </row>
    <row r="239">
      <c r="K239" s="30"/>
    </row>
    <row r="240">
      <c r="K240" s="30"/>
    </row>
    <row r="241">
      <c r="K241" s="30"/>
    </row>
    <row r="242">
      <c r="K242" s="30"/>
    </row>
    <row r="243">
      <c r="K243" s="30"/>
    </row>
    <row r="244">
      <c r="K244" s="30"/>
    </row>
    <row r="245">
      <c r="K245" s="30"/>
    </row>
    <row r="246">
      <c r="K246" s="30"/>
    </row>
    <row r="247">
      <c r="K247" s="30"/>
    </row>
    <row r="248">
      <c r="K248" s="30"/>
    </row>
    <row r="249">
      <c r="K249" s="30"/>
    </row>
    <row r="250">
      <c r="K250" s="30"/>
    </row>
    <row r="251">
      <c r="K251" s="30"/>
    </row>
    <row r="252">
      <c r="K252" s="30"/>
    </row>
    <row r="253">
      <c r="K253" s="30"/>
    </row>
    <row r="254">
      <c r="K254" s="30"/>
    </row>
    <row r="255">
      <c r="K255" s="30"/>
    </row>
    <row r="256">
      <c r="K256" s="30"/>
    </row>
    <row r="257">
      <c r="K257" s="30"/>
    </row>
    <row r="258">
      <c r="K258" s="30"/>
    </row>
    <row r="259">
      <c r="K259" s="30"/>
    </row>
    <row r="260">
      <c r="K260" s="30"/>
    </row>
    <row r="261">
      <c r="K261" s="30"/>
    </row>
    <row r="262">
      <c r="K262" s="30"/>
    </row>
    <row r="263">
      <c r="K263" s="30"/>
    </row>
    <row r="264">
      <c r="K264" s="30"/>
    </row>
    <row r="265">
      <c r="K265" s="30"/>
    </row>
    <row r="266">
      <c r="K266" s="30"/>
    </row>
    <row r="267">
      <c r="K267" s="30"/>
    </row>
    <row r="268">
      <c r="K268" s="30"/>
    </row>
    <row r="269">
      <c r="K269" s="30"/>
    </row>
    <row r="270">
      <c r="K270" s="30"/>
    </row>
    <row r="271">
      <c r="K271" s="30"/>
    </row>
    <row r="272">
      <c r="K272" s="30"/>
    </row>
    <row r="273">
      <c r="K273" s="30"/>
    </row>
    <row r="274">
      <c r="K274" s="30"/>
    </row>
    <row r="275">
      <c r="K275" s="30"/>
    </row>
    <row r="276">
      <c r="K276" s="30"/>
    </row>
    <row r="277">
      <c r="K277" s="30"/>
    </row>
    <row r="278">
      <c r="K278" s="30"/>
    </row>
    <row r="279">
      <c r="K279" s="30"/>
    </row>
    <row r="280">
      <c r="K280" s="30"/>
    </row>
    <row r="281">
      <c r="K281" s="30"/>
    </row>
    <row r="282">
      <c r="K282" s="30"/>
    </row>
    <row r="283">
      <c r="K283" s="30"/>
    </row>
    <row r="284">
      <c r="K284" s="30"/>
    </row>
    <row r="285">
      <c r="K285" s="30"/>
    </row>
    <row r="286">
      <c r="K286" s="30"/>
    </row>
    <row r="287">
      <c r="K287" s="30"/>
    </row>
    <row r="288">
      <c r="K288" s="30"/>
    </row>
    <row r="289">
      <c r="K289" s="30"/>
    </row>
    <row r="290">
      <c r="K290" s="30"/>
    </row>
    <row r="291">
      <c r="K291" s="30"/>
    </row>
    <row r="292">
      <c r="K292" s="30"/>
    </row>
    <row r="293">
      <c r="K293" s="30"/>
    </row>
    <row r="294">
      <c r="K294" s="30"/>
    </row>
    <row r="295">
      <c r="K295" s="30"/>
    </row>
    <row r="296">
      <c r="K296" s="30"/>
    </row>
    <row r="297">
      <c r="K297" s="30"/>
    </row>
    <row r="298">
      <c r="K298" s="30"/>
    </row>
    <row r="299">
      <c r="K299" s="30"/>
    </row>
    <row r="300">
      <c r="K300" s="30"/>
    </row>
    <row r="301">
      <c r="K301" s="30"/>
    </row>
    <row r="302">
      <c r="K302" s="30"/>
    </row>
    <row r="303">
      <c r="K303" s="30"/>
    </row>
    <row r="304">
      <c r="K304" s="30"/>
    </row>
    <row r="305">
      <c r="K305" s="30"/>
    </row>
    <row r="306">
      <c r="K306" s="30"/>
    </row>
    <row r="307">
      <c r="K307" s="30"/>
    </row>
    <row r="308">
      <c r="K308" s="30"/>
    </row>
    <row r="309">
      <c r="K309" s="30"/>
    </row>
    <row r="310">
      <c r="K310" s="30"/>
    </row>
    <row r="311">
      <c r="K311" s="30"/>
    </row>
    <row r="312">
      <c r="K312" s="30"/>
    </row>
    <row r="313">
      <c r="K313" s="30"/>
    </row>
    <row r="314">
      <c r="K314" s="30"/>
    </row>
    <row r="315">
      <c r="K315" s="30"/>
    </row>
    <row r="316">
      <c r="K316" s="30"/>
    </row>
    <row r="317">
      <c r="K317" s="30"/>
    </row>
    <row r="318">
      <c r="K318" s="30"/>
    </row>
    <row r="319">
      <c r="K319" s="30"/>
    </row>
    <row r="320">
      <c r="K320" s="30"/>
    </row>
    <row r="321">
      <c r="K321" s="30"/>
    </row>
    <row r="322">
      <c r="K322" s="30"/>
    </row>
    <row r="323">
      <c r="K323" s="30"/>
    </row>
    <row r="324">
      <c r="K324" s="30"/>
    </row>
    <row r="325">
      <c r="K325" s="30"/>
    </row>
    <row r="326">
      <c r="K326" s="30"/>
    </row>
    <row r="327">
      <c r="K327" s="30"/>
    </row>
    <row r="328">
      <c r="K328" s="30"/>
    </row>
    <row r="329">
      <c r="K329" s="30"/>
    </row>
    <row r="330">
      <c r="K330" s="30"/>
    </row>
    <row r="331">
      <c r="K331" s="30"/>
    </row>
    <row r="332">
      <c r="K332" s="30"/>
    </row>
    <row r="333">
      <c r="K333" s="30"/>
    </row>
    <row r="334">
      <c r="K334" s="30"/>
    </row>
    <row r="335">
      <c r="K335" s="30"/>
    </row>
    <row r="336">
      <c r="K336" s="30"/>
    </row>
    <row r="337">
      <c r="K337" s="30"/>
    </row>
    <row r="338">
      <c r="K338" s="30"/>
    </row>
    <row r="339">
      <c r="K339" s="30"/>
    </row>
    <row r="340">
      <c r="K340" s="30"/>
    </row>
    <row r="341">
      <c r="K341" s="30"/>
    </row>
    <row r="342">
      <c r="K342" s="30"/>
    </row>
    <row r="343">
      <c r="K343" s="30"/>
    </row>
    <row r="344">
      <c r="K344" s="30"/>
    </row>
    <row r="345">
      <c r="K345" s="30"/>
    </row>
    <row r="346">
      <c r="K346" s="30"/>
    </row>
    <row r="347">
      <c r="K347" s="30"/>
    </row>
    <row r="348">
      <c r="K348" s="30"/>
    </row>
    <row r="349">
      <c r="K349" s="30"/>
    </row>
    <row r="350">
      <c r="K350" s="30"/>
    </row>
    <row r="351">
      <c r="K351" s="30"/>
    </row>
    <row r="352">
      <c r="K352" s="30"/>
    </row>
    <row r="353">
      <c r="K353" s="30"/>
    </row>
    <row r="354">
      <c r="K354" s="30"/>
    </row>
    <row r="355">
      <c r="K355" s="30"/>
    </row>
    <row r="356">
      <c r="K356" s="30"/>
    </row>
    <row r="357">
      <c r="K357" s="30"/>
    </row>
    <row r="358">
      <c r="K358" s="30"/>
    </row>
    <row r="359">
      <c r="K359" s="30"/>
    </row>
    <row r="360">
      <c r="K360" s="30"/>
    </row>
    <row r="361">
      <c r="K361" s="30"/>
    </row>
    <row r="362">
      <c r="K362" s="30"/>
    </row>
    <row r="363">
      <c r="K363" s="30"/>
    </row>
    <row r="364">
      <c r="K364" s="30"/>
    </row>
    <row r="365">
      <c r="K365" s="30"/>
    </row>
    <row r="366">
      <c r="K366" s="30"/>
    </row>
    <row r="367">
      <c r="K367" s="30"/>
    </row>
    <row r="368">
      <c r="K368" s="30"/>
    </row>
    <row r="369">
      <c r="K369" s="30"/>
    </row>
    <row r="370">
      <c r="K370" s="30"/>
    </row>
    <row r="371">
      <c r="K371" s="30"/>
    </row>
    <row r="372">
      <c r="K372" s="30"/>
    </row>
    <row r="373">
      <c r="K373" s="30"/>
    </row>
    <row r="374">
      <c r="K374" s="30"/>
    </row>
    <row r="375">
      <c r="K375" s="30"/>
    </row>
    <row r="376">
      <c r="K376" s="30"/>
    </row>
    <row r="377">
      <c r="K377" s="30"/>
    </row>
    <row r="378">
      <c r="K378" s="30"/>
    </row>
    <row r="379">
      <c r="K379" s="30"/>
    </row>
    <row r="380">
      <c r="K380" s="30"/>
    </row>
    <row r="381">
      <c r="K381" s="30"/>
    </row>
    <row r="382">
      <c r="K382" s="30"/>
    </row>
    <row r="383">
      <c r="K383" s="30"/>
    </row>
    <row r="384">
      <c r="K384" s="30"/>
    </row>
    <row r="385">
      <c r="K385" s="30"/>
    </row>
    <row r="386">
      <c r="K386" s="30"/>
    </row>
    <row r="387">
      <c r="K387" s="30"/>
    </row>
    <row r="388">
      <c r="K388" s="30"/>
    </row>
    <row r="389">
      <c r="K389" s="30"/>
    </row>
    <row r="390">
      <c r="K390" s="30"/>
    </row>
    <row r="391">
      <c r="K391" s="30"/>
    </row>
    <row r="392">
      <c r="K392" s="30"/>
    </row>
    <row r="393">
      <c r="K393" s="30"/>
    </row>
    <row r="394">
      <c r="K394" s="30"/>
    </row>
    <row r="395">
      <c r="K395" s="30"/>
    </row>
    <row r="396">
      <c r="K396" s="30"/>
    </row>
    <row r="397">
      <c r="K397" s="30"/>
    </row>
    <row r="398">
      <c r="K398" s="30"/>
    </row>
    <row r="399">
      <c r="K399" s="30"/>
    </row>
    <row r="400">
      <c r="K400" s="30"/>
    </row>
    <row r="401">
      <c r="K401" s="30"/>
    </row>
    <row r="402">
      <c r="K402" s="30"/>
    </row>
    <row r="403">
      <c r="K403" s="30"/>
    </row>
    <row r="404">
      <c r="K404" s="30"/>
    </row>
    <row r="405">
      <c r="K405" s="30"/>
    </row>
    <row r="406">
      <c r="K406" s="30"/>
    </row>
    <row r="407">
      <c r="K407" s="30"/>
    </row>
    <row r="408">
      <c r="K408" s="30"/>
    </row>
    <row r="409">
      <c r="K409" s="30"/>
    </row>
    <row r="410">
      <c r="K410" s="30"/>
    </row>
    <row r="411">
      <c r="K411" s="30"/>
    </row>
    <row r="412">
      <c r="K412" s="30"/>
    </row>
    <row r="413">
      <c r="K413" s="30"/>
    </row>
    <row r="414">
      <c r="K414" s="30"/>
    </row>
    <row r="415">
      <c r="K415" s="30"/>
    </row>
    <row r="416">
      <c r="K416" s="30"/>
    </row>
    <row r="417">
      <c r="K417" s="30"/>
    </row>
    <row r="418">
      <c r="K418" s="30"/>
    </row>
    <row r="419">
      <c r="K419" s="30"/>
    </row>
    <row r="420">
      <c r="K420" s="30"/>
    </row>
    <row r="421">
      <c r="K421" s="30"/>
    </row>
    <row r="422">
      <c r="K422" s="30"/>
    </row>
    <row r="423">
      <c r="K423" s="30"/>
    </row>
    <row r="424">
      <c r="K424" s="30"/>
    </row>
    <row r="425">
      <c r="K425" s="30"/>
    </row>
    <row r="426">
      <c r="K426" s="30"/>
    </row>
    <row r="427">
      <c r="K427" s="30"/>
    </row>
    <row r="428">
      <c r="K428" s="30"/>
    </row>
    <row r="429">
      <c r="K429" s="30"/>
    </row>
    <row r="430">
      <c r="K430" s="30"/>
    </row>
    <row r="431">
      <c r="K431" s="30"/>
    </row>
    <row r="432">
      <c r="K432" s="30"/>
    </row>
    <row r="433">
      <c r="K433" s="30"/>
    </row>
    <row r="434">
      <c r="K434" s="30"/>
    </row>
    <row r="435">
      <c r="K435" s="30"/>
    </row>
    <row r="436">
      <c r="K436" s="30"/>
    </row>
    <row r="437">
      <c r="K437" s="30"/>
    </row>
    <row r="438">
      <c r="K438" s="30"/>
    </row>
    <row r="439">
      <c r="K439" s="30"/>
    </row>
    <row r="440">
      <c r="K440" s="30"/>
    </row>
    <row r="441">
      <c r="K441" s="30"/>
    </row>
    <row r="442">
      <c r="K442" s="30"/>
    </row>
    <row r="443">
      <c r="K443" s="30"/>
    </row>
    <row r="444">
      <c r="K444" s="30"/>
    </row>
    <row r="445">
      <c r="K445" s="30"/>
    </row>
    <row r="446">
      <c r="K446" s="30"/>
    </row>
    <row r="447">
      <c r="K447" s="30"/>
    </row>
    <row r="448">
      <c r="K448" s="30"/>
    </row>
    <row r="449">
      <c r="K449" s="30"/>
    </row>
    <row r="450">
      <c r="K450" s="30"/>
    </row>
    <row r="451">
      <c r="K451" s="30"/>
    </row>
    <row r="452">
      <c r="K452" s="30"/>
    </row>
    <row r="453">
      <c r="K453" s="30"/>
    </row>
    <row r="454">
      <c r="K454" s="30"/>
    </row>
    <row r="455">
      <c r="K455" s="30"/>
    </row>
    <row r="456">
      <c r="K456" s="30"/>
    </row>
    <row r="457">
      <c r="K457" s="30"/>
    </row>
    <row r="458">
      <c r="K458" s="30"/>
    </row>
    <row r="459">
      <c r="K459" s="30"/>
    </row>
    <row r="460">
      <c r="K460" s="30"/>
    </row>
    <row r="461">
      <c r="K461" s="30"/>
    </row>
    <row r="462">
      <c r="K462" s="30"/>
    </row>
    <row r="463">
      <c r="K463" s="30"/>
    </row>
    <row r="464">
      <c r="K464" s="30"/>
    </row>
    <row r="465">
      <c r="K465" s="30"/>
    </row>
    <row r="466">
      <c r="K466" s="30"/>
    </row>
    <row r="467">
      <c r="K467" s="30"/>
    </row>
    <row r="468">
      <c r="K468" s="30"/>
    </row>
    <row r="469">
      <c r="K469" s="30"/>
    </row>
    <row r="470">
      <c r="K470" s="30"/>
    </row>
    <row r="471">
      <c r="K471" s="30"/>
    </row>
    <row r="472">
      <c r="K472" s="30"/>
    </row>
    <row r="473">
      <c r="K473" s="30"/>
    </row>
    <row r="474">
      <c r="K474" s="30"/>
    </row>
    <row r="475">
      <c r="K475" s="30"/>
    </row>
    <row r="476">
      <c r="K476" s="30"/>
    </row>
    <row r="477">
      <c r="K477" s="30"/>
    </row>
    <row r="478">
      <c r="K478" s="30"/>
    </row>
    <row r="479">
      <c r="K479" s="30"/>
    </row>
    <row r="480">
      <c r="K480" s="30"/>
    </row>
    <row r="481">
      <c r="K481" s="30"/>
    </row>
    <row r="482">
      <c r="K482" s="30"/>
    </row>
    <row r="483">
      <c r="K483" s="30"/>
    </row>
    <row r="484">
      <c r="K484" s="30"/>
    </row>
    <row r="485">
      <c r="K485" s="30"/>
    </row>
    <row r="486">
      <c r="K486" s="30"/>
    </row>
    <row r="487">
      <c r="K487" s="30"/>
    </row>
    <row r="488">
      <c r="K488" s="30"/>
    </row>
    <row r="489">
      <c r="K489" s="30"/>
    </row>
    <row r="490">
      <c r="K490" s="30"/>
    </row>
    <row r="491">
      <c r="K491" s="30"/>
    </row>
    <row r="492">
      <c r="K492" s="30"/>
    </row>
    <row r="493">
      <c r="K493" s="30"/>
    </row>
    <row r="494">
      <c r="K494" s="30"/>
    </row>
    <row r="495">
      <c r="K495" s="30"/>
    </row>
    <row r="496">
      <c r="K496" s="30"/>
    </row>
    <row r="497">
      <c r="K497" s="30"/>
    </row>
    <row r="498">
      <c r="K498" s="30"/>
    </row>
    <row r="499">
      <c r="K499" s="30"/>
    </row>
    <row r="500">
      <c r="K500" s="30"/>
    </row>
    <row r="501">
      <c r="K501" s="30"/>
    </row>
    <row r="502">
      <c r="K502" s="30"/>
    </row>
    <row r="503">
      <c r="K503" s="30"/>
    </row>
    <row r="504">
      <c r="K504" s="30"/>
    </row>
    <row r="505">
      <c r="K505" s="30"/>
    </row>
    <row r="506">
      <c r="K506" s="30"/>
    </row>
    <row r="507">
      <c r="K507" s="30"/>
    </row>
    <row r="508">
      <c r="K508" s="30"/>
    </row>
    <row r="509">
      <c r="K509" s="30"/>
    </row>
    <row r="510">
      <c r="K510" s="30"/>
    </row>
    <row r="511">
      <c r="K511" s="30"/>
    </row>
    <row r="512">
      <c r="K512" s="30"/>
    </row>
    <row r="513">
      <c r="K513" s="30"/>
    </row>
    <row r="514">
      <c r="K514" s="30"/>
    </row>
    <row r="515">
      <c r="K515" s="30"/>
    </row>
    <row r="516">
      <c r="K516" s="30"/>
    </row>
    <row r="517">
      <c r="K517" s="30"/>
    </row>
    <row r="518">
      <c r="K518" s="30"/>
    </row>
    <row r="519">
      <c r="K519" s="30"/>
    </row>
    <row r="520">
      <c r="K520" s="30"/>
    </row>
    <row r="521">
      <c r="K521" s="30"/>
    </row>
    <row r="522">
      <c r="K522" s="30"/>
    </row>
    <row r="523">
      <c r="K523" s="30"/>
    </row>
    <row r="524">
      <c r="K524" s="30"/>
    </row>
    <row r="525">
      <c r="K525" s="30"/>
    </row>
    <row r="526">
      <c r="K526" s="30"/>
    </row>
    <row r="527">
      <c r="K527" s="30"/>
    </row>
    <row r="528">
      <c r="K528" s="30"/>
    </row>
    <row r="529">
      <c r="K529" s="30"/>
    </row>
    <row r="530">
      <c r="K530" s="30"/>
    </row>
    <row r="531">
      <c r="K531" s="30"/>
    </row>
    <row r="532">
      <c r="K532" s="30"/>
    </row>
    <row r="533">
      <c r="K533" s="30"/>
    </row>
    <row r="534">
      <c r="K534" s="30"/>
    </row>
    <row r="535">
      <c r="K535" s="30"/>
    </row>
    <row r="536">
      <c r="K536" s="30"/>
    </row>
    <row r="537">
      <c r="K537" s="30"/>
    </row>
    <row r="538">
      <c r="K538" s="30"/>
    </row>
    <row r="539">
      <c r="K539" s="30"/>
    </row>
    <row r="540">
      <c r="K540" s="30"/>
    </row>
    <row r="541">
      <c r="K541" s="30"/>
    </row>
    <row r="542">
      <c r="K542" s="30"/>
    </row>
    <row r="543">
      <c r="K543" s="30"/>
    </row>
    <row r="544">
      <c r="K544" s="30"/>
    </row>
    <row r="545">
      <c r="K545" s="30"/>
    </row>
    <row r="546">
      <c r="K546" s="30"/>
    </row>
    <row r="547">
      <c r="K547" s="30"/>
    </row>
    <row r="548">
      <c r="K548" s="30"/>
    </row>
    <row r="549">
      <c r="K549" s="30"/>
    </row>
    <row r="550">
      <c r="K550" s="30"/>
    </row>
    <row r="551">
      <c r="K551" s="30"/>
    </row>
    <row r="552">
      <c r="K552" s="30"/>
    </row>
    <row r="553">
      <c r="K553" s="30"/>
    </row>
    <row r="554">
      <c r="K554" s="30"/>
    </row>
    <row r="555">
      <c r="K555" s="30"/>
    </row>
    <row r="556">
      <c r="K556" s="30"/>
    </row>
    <row r="557">
      <c r="K557" s="30"/>
    </row>
    <row r="558">
      <c r="K558" s="30"/>
    </row>
    <row r="559">
      <c r="K559" s="30"/>
    </row>
    <row r="560">
      <c r="K560" s="30"/>
    </row>
    <row r="561">
      <c r="K561" s="30"/>
    </row>
    <row r="562">
      <c r="K562" s="30"/>
    </row>
    <row r="563">
      <c r="K563" s="30"/>
    </row>
    <row r="564">
      <c r="K564" s="30"/>
    </row>
    <row r="565">
      <c r="K565" s="30"/>
    </row>
    <row r="566">
      <c r="K566" s="30"/>
    </row>
    <row r="567">
      <c r="K567" s="30"/>
    </row>
    <row r="568">
      <c r="K568" s="30"/>
    </row>
    <row r="569">
      <c r="K569" s="30"/>
    </row>
    <row r="570">
      <c r="K570" s="30"/>
    </row>
    <row r="571">
      <c r="K571" s="30"/>
    </row>
    <row r="572">
      <c r="K572" s="30"/>
    </row>
    <row r="573">
      <c r="K573" s="30"/>
    </row>
    <row r="574">
      <c r="K574" s="30"/>
    </row>
    <row r="575">
      <c r="K575" s="30"/>
    </row>
    <row r="576">
      <c r="K576" s="30"/>
    </row>
    <row r="577">
      <c r="K577" s="30"/>
    </row>
    <row r="578">
      <c r="K578" s="30"/>
    </row>
    <row r="579">
      <c r="K579" s="30"/>
    </row>
    <row r="580">
      <c r="K580" s="30"/>
    </row>
    <row r="581">
      <c r="K581" s="30"/>
    </row>
    <row r="582">
      <c r="K582" s="30"/>
    </row>
    <row r="583">
      <c r="K583" s="30"/>
    </row>
    <row r="584">
      <c r="K584" s="30"/>
    </row>
    <row r="585">
      <c r="K585" s="30"/>
    </row>
    <row r="586">
      <c r="K586" s="30"/>
    </row>
    <row r="587">
      <c r="K587" s="30"/>
    </row>
    <row r="588">
      <c r="K588" s="30"/>
    </row>
    <row r="589">
      <c r="K589" s="30"/>
    </row>
    <row r="590">
      <c r="K590" s="30"/>
    </row>
    <row r="591">
      <c r="K591" s="30"/>
    </row>
    <row r="592">
      <c r="K592" s="30"/>
    </row>
    <row r="593">
      <c r="K593" s="30"/>
    </row>
    <row r="594">
      <c r="K594" s="30"/>
    </row>
    <row r="595">
      <c r="K595" s="30"/>
    </row>
    <row r="596">
      <c r="K596" s="30"/>
    </row>
    <row r="597">
      <c r="K597" s="30"/>
    </row>
    <row r="598">
      <c r="K598" s="30"/>
    </row>
    <row r="599">
      <c r="K599" s="30"/>
    </row>
    <row r="600">
      <c r="K600" s="30"/>
    </row>
    <row r="601">
      <c r="K601" s="30"/>
    </row>
    <row r="602">
      <c r="K602" s="30"/>
    </row>
    <row r="603">
      <c r="K603" s="30"/>
    </row>
    <row r="604">
      <c r="K604" s="30"/>
    </row>
    <row r="605">
      <c r="K605" s="30"/>
    </row>
    <row r="606">
      <c r="K606" s="30"/>
    </row>
    <row r="607">
      <c r="K607" s="30"/>
    </row>
    <row r="608">
      <c r="K608" s="30"/>
    </row>
    <row r="609">
      <c r="K609" s="30"/>
    </row>
    <row r="610">
      <c r="K610" s="30"/>
    </row>
    <row r="611">
      <c r="K611" s="30"/>
    </row>
    <row r="612">
      <c r="K612" s="30"/>
    </row>
    <row r="613">
      <c r="K613" s="30"/>
    </row>
    <row r="614">
      <c r="K614" s="30"/>
    </row>
    <row r="615">
      <c r="K615" s="30"/>
    </row>
    <row r="616">
      <c r="K616" s="30"/>
    </row>
    <row r="617">
      <c r="K617" s="30"/>
    </row>
    <row r="618">
      <c r="K618" s="30"/>
    </row>
    <row r="619">
      <c r="K619" s="30"/>
    </row>
    <row r="620">
      <c r="K620" s="30"/>
    </row>
    <row r="621">
      <c r="K621" s="30"/>
    </row>
    <row r="622">
      <c r="K622" s="30"/>
    </row>
    <row r="623">
      <c r="K623" s="30"/>
    </row>
    <row r="624">
      <c r="K624" s="30"/>
    </row>
    <row r="625">
      <c r="K625" s="30"/>
    </row>
    <row r="626">
      <c r="K626" s="30"/>
    </row>
    <row r="627">
      <c r="K627" s="30"/>
    </row>
    <row r="628">
      <c r="K628" s="30"/>
    </row>
    <row r="629">
      <c r="K629" s="30"/>
    </row>
    <row r="630">
      <c r="K630" s="30"/>
    </row>
    <row r="631">
      <c r="K631" s="30"/>
    </row>
    <row r="632">
      <c r="K632" s="30"/>
    </row>
    <row r="633">
      <c r="K633" s="30"/>
    </row>
    <row r="634">
      <c r="K634" s="30"/>
    </row>
    <row r="635">
      <c r="K635" s="30"/>
    </row>
    <row r="636">
      <c r="K636" s="30"/>
    </row>
    <row r="637">
      <c r="K637" s="30"/>
    </row>
    <row r="638">
      <c r="K638" s="30"/>
    </row>
    <row r="639">
      <c r="K639" s="30"/>
    </row>
    <row r="640">
      <c r="K640" s="30"/>
    </row>
    <row r="641">
      <c r="K641" s="30"/>
    </row>
    <row r="642">
      <c r="K642" s="30"/>
    </row>
    <row r="643">
      <c r="K643" s="30"/>
    </row>
    <row r="644">
      <c r="K644" s="30"/>
    </row>
    <row r="645">
      <c r="K645" s="30"/>
    </row>
    <row r="646">
      <c r="K646" s="30"/>
    </row>
    <row r="647">
      <c r="K647" s="30"/>
    </row>
    <row r="648">
      <c r="K648" s="30"/>
    </row>
    <row r="649">
      <c r="K649" s="30"/>
    </row>
    <row r="650">
      <c r="K650" s="30"/>
    </row>
    <row r="651">
      <c r="K651" s="30"/>
    </row>
    <row r="652">
      <c r="K652" s="30"/>
    </row>
    <row r="653">
      <c r="K653" s="30"/>
    </row>
    <row r="654">
      <c r="K654" s="30"/>
    </row>
    <row r="655">
      <c r="K655" s="30"/>
    </row>
    <row r="656">
      <c r="K656" s="30"/>
    </row>
    <row r="657">
      <c r="K657" s="30"/>
    </row>
    <row r="658">
      <c r="K658" s="30"/>
    </row>
    <row r="659">
      <c r="K659" s="30"/>
    </row>
    <row r="660">
      <c r="K660" s="30"/>
    </row>
    <row r="661">
      <c r="K661" s="30"/>
    </row>
    <row r="662">
      <c r="K662" s="30"/>
    </row>
    <row r="663">
      <c r="K663" s="30"/>
    </row>
    <row r="664">
      <c r="K664" s="30"/>
    </row>
    <row r="665">
      <c r="K665" s="30"/>
    </row>
    <row r="666">
      <c r="K666" s="30"/>
    </row>
    <row r="667">
      <c r="K667" s="30"/>
    </row>
    <row r="668">
      <c r="K668" s="30"/>
    </row>
    <row r="669">
      <c r="K669" s="30"/>
    </row>
    <row r="670">
      <c r="K670" s="30"/>
    </row>
    <row r="671">
      <c r="K671" s="30"/>
    </row>
    <row r="672">
      <c r="K672" s="30"/>
    </row>
    <row r="673">
      <c r="K673" s="30"/>
    </row>
    <row r="674">
      <c r="K674" s="30"/>
    </row>
    <row r="675">
      <c r="K675" s="30"/>
    </row>
    <row r="676">
      <c r="K676" s="30"/>
    </row>
    <row r="677">
      <c r="K677" s="30"/>
    </row>
    <row r="678">
      <c r="K678" s="30"/>
    </row>
    <row r="679">
      <c r="K679" s="30"/>
    </row>
    <row r="680">
      <c r="K680" s="30"/>
    </row>
    <row r="681">
      <c r="K681" s="30"/>
    </row>
    <row r="682">
      <c r="K682" s="30"/>
    </row>
    <row r="683">
      <c r="K683" s="30"/>
    </row>
    <row r="684">
      <c r="K684" s="30"/>
    </row>
    <row r="685">
      <c r="K685" s="30"/>
    </row>
    <row r="686">
      <c r="K686" s="30"/>
    </row>
    <row r="687">
      <c r="K687" s="30"/>
    </row>
    <row r="688">
      <c r="K688" s="30"/>
    </row>
    <row r="689">
      <c r="K689" s="30"/>
    </row>
    <row r="690">
      <c r="K690" s="30"/>
    </row>
    <row r="691">
      <c r="K691" s="30"/>
    </row>
    <row r="692">
      <c r="K692" s="30"/>
    </row>
    <row r="693">
      <c r="K693" s="30"/>
    </row>
    <row r="694">
      <c r="K694" s="30"/>
    </row>
    <row r="695">
      <c r="K695" s="30"/>
    </row>
    <row r="696">
      <c r="K696" s="30"/>
    </row>
    <row r="697">
      <c r="K697" s="30"/>
    </row>
    <row r="698">
      <c r="K698" s="30"/>
    </row>
    <row r="699">
      <c r="K699" s="30"/>
    </row>
    <row r="700">
      <c r="K700" s="30"/>
    </row>
    <row r="701">
      <c r="K701" s="30"/>
    </row>
    <row r="702">
      <c r="K702" s="30"/>
    </row>
    <row r="703">
      <c r="K703" s="30"/>
    </row>
    <row r="704">
      <c r="K704" s="30"/>
    </row>
    <row r="705">
      <c r="K705" s="30"/>
    </row>
    <row r="706">
      <c r="K706" s="30"/>
    </row>
    <row r="707">
      <c r="K707" s="30"/>
    </row>
    <row r="708">
      <c r="K708" s="30"/>
    </row>
    <row r="709">
      <c r="K709" s="30"/>
    </row>
    <row r="710">
      <c r="K710" s="30"/>
    </row>
    <row r="711">
      <c r="K711" s="30"/>
    </row>
    <row r="712">
      <c r="K712" s="30"/>
    </row>
    <row r="713">
      <c r="K713" s="30"/>
    </row>
    <row r="714">
      <c r="K714" s="30"/>
    </row>
    <row r="715">
      <c r="K715" s="30"/>
    </row>
    <row r="716">
      <c r="K716" s="30"/>
    </row>
    <row r="717">
      <c r="K717" s="30"/>
    </row>
    <row r="718">
      <c r="K718" s="30"/>
    </row>
    <row r="719">
      <c r="K719" s="30"/>
    </row>
    <row r="720">
      <c r="K720" s="30"/>
    </row>
    <row r="721">
      <c r="K721" s="30"/>
    </row>
    <row r="722">
      <c r="K722" s="30"/>
    </row>
    <row r="723">
      <c r="K723" s="30"/>
    </row>
    <row r="724">
      <c r="K724" s="30"/>
    </row>
    <row r="725">
      <c r="K725" s="30"/>
    </row>
    <row r="726">
      <c r="K726" s="30"/>
    </row>
    <row r="727">
      <c r="K727" s="30"/>
    </row>
    <row r="728">
      <c r="K728" s="30"/>
    </row>
    <row r="729">
      <c r="K729" s="30"/>
    </row>
    <row r="730">
      <c r="K730" s="30"/>
    </row>
    <row r="731">
      <c r="K731" s="30"/>
    </row>
    <row r="732">
      <c r="K732" s="30"/>
    </row>
    <row r="733">
      <c r="K733" s="30"/>
    </row>
    <row r="734">
      <c r="K734" s="30"/>
    </row>
    <row r="735">
      <c r="K735" s="30"/>
    </row>
    <row r="736">
      <c r="K736" s="30"/>
    </row>
    <row r="737">
      <c r="K737" s="30"/>
    </row>
    <row r="738">
      <c r="K738" s="30"/>
    </row>
    <row r="739">
      <c r="K739" s="30"/>
    </row>
    <row r="740">
      <c r="K740" s="30"/>
    </row>
    <row r="741">
      <c r="K741" s="30"/>
    </row>
    <row r="742">
      <c r="K742" s="30"/>
    </row>
    <row r="743">
      <c r="K743" s="30"/>
    </row>
    <row r="744">
      <c r="K744" s="30"/>
    </row>
    <row r="745">
      <c r="K745" s="30"/>
    </row>
    <row r="746">
      <c r="K746" s="30"/>
    </row>
    <row r="747">
      <c r="K747" s="30"/>
    </row>
    <row r="748">
      <c r="K748" s="30"/>
    </row>
    <row r="749">
      <c r="K749" s="30"/>
    </row>
    <row r="750">
      <c r="K750" s="30"/>
    </row>
    <row r="751">
      <c r="K751" s="30"/>
    </row>
    <row r="752">
      <c r="K752" s="30"/>
    </row>
    <row r="753">
      <c r="K753" s="30"/>
    </row>
    <row r="754">
      <c r="K754" s="30"/>
    </row>
    <row r="755">
      <c r="K755" s="30"/>
    </row>
    <row r="756">
      <c r="K756" s="30"/>
    </row>
    <row r="757">
      <c r="K757" s="30"/>
    </row>
    <row r="758">
      <c r="K758" s="30"/>
    </row>
    <row r="759">
      <c r="K759" s="30"/>
    </row>
    <row r="760">
      <c r="K760" s="30"/>
    </row>
    <row r="761">
      <c r="K761" s="30"/>
    </row>
    <row r="762">
      <c r="K762" s="30"/>
    </row>
    <row r="763">
      <c r="K763" s="30"/>
    </row>
    <row r="764">
      <c r="K764" s="30"/>
    </row>
    <row r="765">
      <c r="K765" s="30"/>
    </row>
    <row r="766">
      <c r="K766" s="30"/>
    </row>
    <row r="767">
      <c r="K767" s="30"/>
    </row>
    <row r="768">
      <c r="K768" s="30"/>
    </row>
    <row r="769">
      <c r="K769" s="30"/>
    </row>
    <row r="770">
      <c r="K770" s="30"/>
    </row>
    <row r="771">
      <c r="K771" s="30"/>
    </row>
    <row r="772">
      <c r="K772" s="30"/>
    </row>
    <row r="773">
      <c r="K773" s="30"/>
    </row>
    <row r="774">
      <c r="K774" s="30"/>
    </row>
    <row r="775">
      <c r="K775" s="30"/>
    </row>
    <row r="776">
      <c r="K776" s="30"/>
    </row>
    <row r="777">
      <c r="K777" s="30"/>
    </row>
    <row r="778">
      <c r="K778" s="30"/>
    </row>
    <row r="779">
      <c r="K779" s="30"/>
    </row>
    <row r="780">
      <c r="K780" s="30"/>
    </row>
    <row r="781">
      <c r="K781" s="30"/>
    </row>
    <row r="782">
      <c r="K782" s="30"/>
    </row>
    <row r="783">
      <c r="K783" s="30"/>
    </row>
    <row r="784">
      <c r="K784" s="30"/>
    </row>
    <row r="785">
      <c r="K785" s="30"/>
    </row>
    <row r="786">
      <c r="K786" s="30"/>
    </row>
    <row r="787">
      <c r="K787" s="30"/>
    </row>
    <row r="788">
      <c r="K788" s="30"/>
    </row>
    <row r="789">
      <c r="K789" s="30"/>
    </row>
    <row r="790">
      <c r="K790" s="30"/>
    </row>
    <row r="791">
      <c r="K791" s="30"/>
    </row>
    <row r="792">
      <c r="K792" s="30"/>
    </row>
    <row r="793">
      <c r="K793" s="30"/>
    </row>
    <row r="794">
      <c r="K794" s="30"/>
    </row>
    <row r="795">
      <c r="K795" s="30"/>
    </row>
    <row r="796">
      <c r="K796" s="30"/>
    </row>
    <row r="797">
      <c r="K797" s="30"/>
    </row>
    <row r="798">
      <c r="K798" s="30"/>
    </row>
    <row r="799">
      <c r="K799" s="30"/>
    </row>
    <row r="800">
      <c r="K800" s="30"/>
    </row>
    <row r="801">
      <c r="K801" s="30"/>
    </row>
    <row r="802">
      <c r="K802" s="30"/>
    </row>
    <row r="803">
      <c r="K803" s="30"/>
    </row>
    <row r="804">
      <c r="K804" s="30"/>
    </row>
    <row r="805">
      <c r="K805" s="30"/>
    </row>
    <row r="806">
      <c r="K806" s="30"/>
    </row>
    <row r="807">
      <c r="K807" s="30"/>
    </row>
    <row r="808">
      <c r="K808" s="30"/>
    </row>
    <row r="809">
      <c r="K809" s="30"/>
    </row>
    <row r="810">
      <c r="K810" s="30"/>
    </row>
    <row r="811">
      <c r="K811" s="30"/>
    </row>
    <row r="812">
      <c r="K812" s="30"/>
    </row>
    <row r="813">
      <c r="K813" s="30"/>
    </row>
    <row r="814">
      <c r="K814" s="30"/>
    </row>
    <row r="815">
      <c r="K815" s="30"/>
    </row>
    <row r="816">
      <c r="K816" s="30"/>
    </row>
    <row r="817">
      <c r="K817" s="30"/>
    </row>
    <row r="818">
      <c r="K818" s="30"/>
    </row>
    <row r="819">
      <c r="K819" s="30"/>
    </row>
    <row r="820">
      <c r="K820" s="30"/>
    </row>
    <row r="821">
      <c r="K821" s="30"/>
    </row>
    <row r="822">
      <c r="K822" s="30"/>
    </row>
    <row r="823">
      <c r="K823" s="30"/>
    </row>
    <row r="824">
      <c r="K824" s="30"/>
    </row>
    <row r="825">
      <c r="K825" s="30"/>
    </row>
    <row r="826">
      <c r="K826" s="30"/>
    </row>
    <row r="827">
      <c r="K827" s="30"/>
    </row>
    <row r="828">
      <c r="K828" s="30"/>
    </row>
    <row r="829">
      <c r="K829" s="30"/>
    </row>
    <row r="830">
      <c r="K830" s="30"/>
    </row>
    <row r="831">
      <c r="K831" s="30"/>
    </row>
    <row r="832">
      <c r="K832" s="30"/>
    </row>
    <row r="833">
      <c r="K833" s="30"/>
    </row>
    <row r="834">
      <c r="K834" s="30"/>
    </row>
    <row r="835">
      <c r="K835" s="30"/>
    </row>
    <row r="836">
      <c r="K836" s="30"/>
    </row>
    <row r="837">
      <c r="K837" s="30"/>
    </row>
    <row r="838">
      <c r="K838" s="30"/>
    </row>
    <row r="839">
      <c r="K839" s="30"/>
    </row>
    <row r="840">
      <c r="K840" s="30"/>
    </row>
    <row r="841">
      <c r="K841" s="30"/>
    </row>
    <row r="842">
      <c r="K842" s="30"/>
    </row>
    <row r="843">
      <c r="K843" s="30"/>
    </row>
    <row r="844">
      <c r="K844" s="30"/>
    </row>
    <row r="845">
      <c r="K845" s="30"/>
    </row>
    <row r="846">
      <c r="K846" s="30"/>
    </row>
    <row r="847">
      <c r="K847" s="30"/>
    </row>
    <row r="848">
      <c r="K848" s="30"/>
    </row>
    <row r="849">
      <c r="K849" s="30"/>
    </row>
    <row r="850">
      <c r="K850" s="30"/>
    </row>
    <row r="851">
      <c r="K851" s="30"/>
    </row>
    <row r="852">
      <c r="K852" s="30"/>
    </row>
    <row r="853">
      <c r="K853" s="30"/>
    </row>
    <row r="854">
      <c r="K854" s="30"/>
    </row>
    <row r="855">
      <c r="K855" s="30"/>
    </row>
    <row r="856">
      <c r="K856" s="30"/>
    </row>
    <row r="857">
      <c r="K857" s="30"/>
    </row>
    <row r="858">
      <c r="K858" s="30"/>
    </row>
    <row r="859">
      <c r="K859" s="30"/>
    </row>
    <row r="860">
      <c r="K860" s="30"/>
    </row>
    <row r="861">
      <c r="K861" s="30"/>
    </row>
    <row r="862">
      <c r="K862" s="30"/>
    </row>
    <row r="863">
      <c r="K863" s="30"/>
    </row>
    <row r="864">
      <c r="K864" s="30"/>
    </row>
    <row r="865">
      <c r="K865" s="30"/>
    </row>
    <row r="866">
      <c r="K866" s="30"/>
    </row>
    <row r="867">
      <c r="K867" s="30"/>
    </row>
    <row r="868">
      <c r="K868" s="30"/>
    </row>
    <row r="869">
      <c r="K869" s="30"/>
    </row>
    <row r="870">
      <c r="K870" s="30"/>
    </row>
    <row r="871">
      <c r="K871" s="30"/>
    </row>
    <row r="872">
      <c r="K872" s="30"/>
    </row>
    <row r="873">
      <c r="K873" s="30"/>
    </row>
    <row r="874">
      <c r="K874" s="30"/>
    </row>
    <row r="875">
      <c r="K875" s="30"/>
    </row>
    <row r="876">
      <c r="K876" s="30"/>
    </row>
    <row r="877">
      <c r="K877" s="30"/>
    </row>
    <row r="878">
      <c r="K878" s="30"/>
    </row>
    <row r="879">
      <c r="K879" s="30"/>
    </row>
    <row r="880">
      <c r="K880" s="30"/>
    </row>
    <row r="881">
      <c r="K881" s="30"/>
    </row>
    <row r="882">
      <c r="K882" s="30"/>
    </row>
    <row r="883">
      <c r="K883" s="30"/>
    </row>
    <row r="884">
      <c r="K884" s="30"/>
    </row>
    <row r="885">
      <c r="K885" s="30"/>
    </row>
    <row r="886">
      <c r="K886" s="30"/>
    </row>
    <row r="887">
      <c r="K887" s="30"/>
    </row>
    <row r="888">
      <c r="K888" s="30"/>
    </row>
    <row r="889">
      <c r="K889" s="30"/>
    </row>
    <row r="890">
      <c r="K890" s="30"/>
    </row>
    <row r="891">
      <c r="K891" s="30"/>
    </row>
    <row r="892">
      <c r="K892" s="30"/>
    </row>
    <row r="893">
      <c r="K893" s="30"/>
    </row>
    <row r="894">
      <c r="K894" s="30"/>
    </row>
    <row r="895">
      <c r="K895" s="30"/>
    </row>
    <row r="896">
      <c r="K896" s="30"/>
    </row>
    <row r="897">
      <c r="K897" s="30"/>
    </row>
    <row r="898">
      <c r="K898" s="30"/>
    </row>
    <row r="899">
      <c r="K899" s="30"/>
    </row>
    <row r="900">
      <c r="K900" s="30"/>
    </row>
    <row r="901">
      <c r="K901" s="30"/>
    </row>
    <row r="902">
      <c r="K902" s="30"/>
    </row>
    <row r="903">
      <c r="K903" s="30"/>
    </row>
    <row r="904">
      <c r="K904" s="30"/>
    </row>
    <row r="905">
      <c r="K905" s="30"/>
    </row>
    <row r="906">
      <c r="K906" s="30"/>
    </row>
    <row r="907">
      <c r="K907" s="30"/>
    </row>
    <row r="908">
      <c r="K908" s="30"/>
    </row>
    <row r="909">
      <c r="K909" s="30"/>
    </row>
    <row r="910">
      <c r="K910" s="30"/>
    </row>
    <row r="911">
      <c r="K911" s="30"/>
    </row>
    <row r="912">
      <c r="K912" s="30"/>
    </row>
    <row r="913">
      <c r="K913" s="30"/>
    </row>
    <row r="914">
      <c r="K914" s="30"/>
    </row>
    <row r="915">
      <c r="K915" s="30"/>
    </row>
    <row r="916">
      <c r="K916" s="30"/>
    </row>
    <row r="917">
      <c r="K917" s="30"/>
    </row>
    <row r="918">
      <c r="K918" s="30"/>
    </row>
    <row r="919">
      <c r="K919" s="30"/>
    </row>
    <row r="920">
      <c r="K920" s="30"/>
    </row>
    <row r="921">
      <c r="K921" s="30"/>
    </row>
    <row r="922">
      <c r="K922" s="30"/>
    </row>
    <row r="923">
      <c r="K923" s="30"/>
    </row>
    <row r="924">
      <c r="K924" s="30"/>
    </row>
    <row r="925">
      <c r="K925" s="30"/>
    </row>
    <row r="926">
      <c r="K926" s="30"/>
    </row>
    <row r="927">
      <c r="K927" s="30"/>
    </row>
    <row r="928">
      <c r="K928" s="30"/>
    </row>
    <row r="929">
      <c r="K929" s="30"/>
    </row>
    <row r="930">
      <c r="K930" s="30"/>
    </row>
    <row r="931">
      <c r="K931" s="30"/>
    </row>
    <row r="932">
      <c r="K932" s="30"/>
    </row>
    <row r="933">
      <c r="K933" s="30"/>
    </row>
    <row r="934">
      <c r="K934" s="30"/>
    </row>
    <row r="935">
      <c r="K935" s="30"/>
    </row>
    <row r="936">
      <c r="K936" s="30"/>
    </row>
    <row r="937">
      <c r="K937" s="30"/>
    </row>
    <row r="938">
      <c r="K938" s="30"/>
    </row>
    <row r="939">
      <c r="K939" s="30"/>
    </row>
    <row r="940">
      <c r="K940" s="30"/>
    </row>
    <row r="941">
      <c r="K941" s="30"/>
    </row>
    <row r="942">
      <c r="K942" s="30"/>
    </row>
    <row r="943">
      <c r="K943" s="30"/>
    </row>
    <row r="944">
      <c r="K944" s="30"/>
    </row>
    <row r="945">
      <c r="K945" s="30"/>
    </row>
    <row r="946">
      <c r="K946" s="30"/>
    </row>
    <row r="947">
      <c r="K947" s="30"/>
    </row>
    <row r="948">
      <c r="K948" s="30"/>
    </row>
    <row r="949">
      <c r="K949" s="30"/>
    </row>
    <row r="950">
      <c r="K950" s="30"/>
    </row>
    <row r="951">
      <c r="K951" s="30"/>
    </row>
    <row r="952">
      <c r="K952" s="30"/>
    </row>
    <row r="953">
      <c r="K953" s="30"/>
    </row>
    <row r="954">
      <c r="K954" s="30"/>
    </row>
    <row r="955">
      <c r="K955" s="30"/>
    </row>
    <row r="956">
      <c r="K956" s="30"/>
    </row>
    <row r="957">
      <c r="K957" s="30"/>
    </row>
    <row r="958">
      <c r="K958" s="30"/>
    </row>
    <row r="959">
      <c r="K959" s="30"/>
    </row>
    <row r="960">
      <c r="K960" s="30"/>
    </row>
    <row r="961">
      <c r="K961" s="30"/>
    </row>
    <row r="962">
      <c r="K962" s="30"/>
    </row>
    <row r="963">
      <c r="K963" s="30"/>
    </row>
    <row r="964">
      <c r="K964" s="30"/>
    </row>
    <row r="965">
      <c r="K965" s="30"/>
    </row>
    <row r="966">
      <c r="K966" s="30"/>
    </row>
    <row r="967">
      <c r="K967" s="30"/>
    </row>
    <row r="968">
      <c r="K968" s="30"/>
    </row>
    <row r="969">
      <c r="K969" s="30"/>
    </row>
    <row r="970">
      <c r="K970" s="30"/>
    </row>
    <row r="971">
      <c r="K971" s="30"/>
    </row>
    <row r="972">
      <c r="K972" s="30"/>
    </row>
    <row r="973">
      <c r="K973" s="30"/>
    </row>
    <row r="974">
      <c r="K974" s="30"/>
    </row>
    <row r="975">
      <c r="K975" s="30"/>
    </row>
    <row r="976">
      <c r="K976" s="30"/>
    </row>
    <row r="977">
      <c r="K977" s="30"/>
    </row>
    <row r="978">
      <c r="K978" s="30"/>
    </row>
    <row r="979">
      <c r="K979" s="30"/>
    </row>
    <row r="980">
      <c r="K980" s="30"/>
    </row>
    <row r="981">
      <c r="K981" s="30"/>
    </row>
    <row r="982">
      <c r="K982" s="30"/>
    </row>
    <row r="983">
      <c r="K983" s="30"/>
    </row>
    <row r="984">
      <c r="K984" s="30"/>
    </row>
    <row r="985">
      <c r="K985" s="30"/>
    </row>
    <row r="986">
      <c r="K986" s="30"/>
    </row>
    <row r="987">
      <c r="K987" s="30"/>
    </row>
    <row r="988">
      <c r="K988" s="30"/>
    </row>
    <row r="989">
      <c r="K989" s="30"/>
    </row>
    <row r="990">
      <c r="K990" s="30"/>
    </row>
    <row r="991">
      <c r="K991" s="30"/>
    </row>
    <row r="992">
      <c r="K992" s="30"/>
    </row>
    <row r="993">
      <c r="K993" s="30"/>
    </row>
    <row r="994">
      <c r="K994" s="30"/>
    </row>
    <row r="995">
      <c r="K995" s="30"/>
    </row>
    <row r="996">
      <c r="K996" s="30"/>
    </row>
    <row r="997">
      <c r="K997" s="30"/>
    </row>
    <row r="998">
      <c r="K998" s="30"/>
    </row>
    <row r="999">
      <c r="K999" s="30"/>
    </row>
    <row r="1000">
      <c r="K1000" s="30"/>
    </row>
  </sheetData>
  <autoFilter ref="$A$6:$L$40"/>
  <mergeCells count="8">
    <mergeCell ref="A1:L1"/>
    <mergeCell ref="A2:L2"/>
    <mergeCell ref="A3:B3"/>
    <mergeCell ref="C3:D3"/>
    <mergeCell ref="E3:F3"/>
    <mergeCell ref="A4:B4"/>
    <mergeCell ref="C4:D4"/>
    <mergeCell ref="E4:F4"/>
  </mergeCells>
  <conditionalFormatting sqref="K7:K1000">
    <cfRule type="cellIs" dxfId="4" priority="1" stopIfTrue="1" operator="equal">
      <formula>"Aguardando link"</formula>
    </cfRule>
  </conditionalFormatting>
  <conditionalFormatting sqref="F7:F1000">
    <cfRule type="cellIs" dxfId="5" priority="2" stopIfTrue="1" operator="equal">
      <formula>"CONFERE"</formula>
    </cfRule>
  </conditionalFormatting>
  <conditionalFormatting sqref="F7:F1000">
    <cfRule type="cellIs" dxfId="4" priority="3" stopIfTrue="1" operator="equal">
      <formula>"REVISAR DURAÇÃO"</formula>
    </cfRule>
  </conditionalFormatting>
  <conditionalFormatting sqref="F7:F1000">
    <cfRule type="cellIs" dxfId="4" priority="4" stopIfTrue="1" operator="equal">
      <formula>"SOBREPOSIÇÃO"</formula>
    </cfRule>
  </conditionalFormatting>
  <dataValidations>
    <dataValidation type="list" allowBlank="1" showInputMessage="1" showErrorMessage="1" prompt="Atualize a situação do material." sqref="K7:K1000">
      <formula1>"Aguardando link,Em preparação,Em revisão,Aprovado,Exibido"</formula1>
    </dataValidation>
  </dataValidations>
  <drawing r:id="rId1"/>
</worksheet>
</file>